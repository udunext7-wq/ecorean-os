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사용법" sheetId="1" state="visible" r:id="rId1"/>
    <sheet xmlns:r="http://schemas.openxmlformats.org/officeDocument/2006/relationships" name="🔨 공정 단가" sheetId="2" state="visible" r:id="rId2"/>
    <sheet xmlns:r="http://schemas.openxmlformats.org/officeDocument/2006/relationships" name="🧱 자재 단가" sheetId="3" state="visible" r:id="rId3"/>
    <sheet xmlns:r="http://schemas.openxmlformats.org/officeDocument/2006/relationships" name="🔩 부자재" sheetId="4" state="visible" r:id="rId4"/>
    <sheet xmlns:r="http://schemas.openxmlformats.org/officeDocument/2006/relationships" name="👷 인건비" sheetId="5" state="visible" r:id="rId5"/>
    <sheet xmlns:r="http://schemas.openxmlformats.org/officeDocument/2006/relationships" name="🚛 외주·장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C9A84C"/>
      <sz val="16"/>
    </font>
    <font>
      <name val="Arial"/>
      <color rgb="00E8E0D0"/>
      <sz val="11"/>
    </font>
    <font>
      <name val="Arial"/>
      <color rgb="00E8E0D0"/>
      <sz val="10"/>
    </font>
    <font>
      <name val="Arial"/>
      <b val="1"/>
      <color rgb="00C9A84C"/>
      <sz val="10"/>
    </font>
    <font>
      <name val="Arial"/>
      <b val="1"/>
      <color rgb="00E8E0D0"/>
      <sz val="10"/>
    </font>
    <font>
      <name val="Arial"/>
      <b val="1"/>
      <color rgb="00C9A84C"/>
      <sz val="14"/>
    </font>
    <font>
      <name val="Arial"/>
      <color rgb="00E8E0D0"/>
      <sz val="9"/>
    </font>
    <font>
      <name val="Arial"/>
      <b val="1"/>
      <color rgb="00C9A84C"/>
      <sz val="11"/>
    </font>
    <font>
      <name val="Arial"/>
      <color rgb="00888888"/>
      <sz val="9"/>
    </font>
    <font>
      <name val="Arial"/>
      <b val="1"/>
      <color rgb="00FF6644"/>
      <sz val="9"/>
    </font>
    <font>
      <name val="Arial"/>
      <color rgb="00C9A84C"/>
      <sz val="10"/>
    </font>
    <font>
      <name val="Arial"/>
      <color rgb="00888888"/>
      <sz val="10"/>
    </font>
    <font>
      <name val="Arial"/>
      <color rgb="004A90D9"/>
      <sz val="10"/>
    </font>
    <font>
      <name val="Arial"/>
      <color rgb="005ddd9a"/>
      <sz val="10"/>
    </font>
    <font>
      <name val="Arial"/>
      <b val="1"/>
      <color rgb="00FFAA44"/>
      <sz val="9"/>
    </font>
    <font>
      <name val="Arial"/>
      <b val="1"/>
      <color rgb="005ddd9a"/>
      <sz val="11"/>
    </font>
  </fonts>
  <fills count="10">
    <fill>
      <patternFill/>
    </fill>
    <fill>
      <patternFill patternType="gray125"/>
    </fill>
    <fill>
      <patternFill patternType="solid">
        <fgColor rgb="00070707"/>
      </patternFill>
    </fill>
    <fill>
      <patternFill patternType="solid">
        <fgColor rgb="001C1810"/>
      </patternFill>
    </fill>
    <fill>
      <patternFill patternType="solid">
        <fgColor rgb="001a1a1a"/>
      </patternFill>
    </fill>
    <fill>
      <patternFill patternType="solid">
        <fgColor rgb="001a0a0a"/>
      </patternFill>
    </fill>
    <fill>
      <patternFill patternType="solid">
        <fgColor rgb="000a1628"/>
      </patternFill>
    </fill>
    <fill>
      <patternFill patternType="solid">
        <fgColor rgb="000f0f0f"/>
      </patternFill>
    </fill>
    <fill>
      <patternFill patternType="solid">
        <fgColor rgb="000a1a0a"/>
      </patternFill>
    </fill>
    <fill>
      <patternFill patternType="solid">
        <fgColor rgb="000f1f10"/>
      </patternFill>
    </fill>
  </fills>
  <borders count="3">
    <border>
      <left/>
      <right/>
      <top/>
      <bottom/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3" fontId="12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0" customWidth="1" min="3" max="3"/>
  </cols>
  <sheetData>
    <row r="1" ht="20" customHeight="1"/>
    <row r="2" ht="40" customHeight="1">
      <c r="B2" s="1" t="inlineStr">
        <is>
          <t>ECOREAN 자동견적 OS — 단가 입력 템플릿</t>
        </is>
      </c>
    </row>
    <row r="3" ht="30" customHeight="1">
      <c r="B3" s="2" t="inlineStr">
        <is>
          <t>📌 이 파일을 작성한 후 프로그램에 업로드하면 견적이 자동으로 계산됩니다</t>
        </is>
      </c>
    </row>
    <row r="6" ht="22" customHeight="1"/>
    <row r="7" ht="22" customHeight="1">
      <c r="B7" s="3" t="inlineStr">
        <is>
          <t>🔵 파란 셀</t>
        </is>
      </c>
      <c r="C7" s="3" t="inlineStr">
        <is>
          <t>대표님이 직접 입력하는 셀입니다. 아는 값만 입력하세요.</t>
        </is>
      </c>
    </row>
    <row r="8" ht="22" customHeight="1">
      <c r="B8" s="3" t="inlineStr">
        <is>
          <t>🟢 초록 셀</t>
        </is>
      </c>
      <c r="C8" s="3" t="inlineStr">
        <is>
          <t>자동 계산 셀입니다. 건드리지 마세요.</t>
        </is>
      </c>
    </row>
    <row r="9" ht="22" customHeight="1"/>
    <row r="10" ht="22" customHeight="1">
      <c r="B10" s="4" t="inlineStr">
        <is>
          <t>✅ 입력 순서</t>
        </is>
      </c>
    </row>
    <row r="11" ht="22" customHeight="1">
      <c r="B11" s="5" t="inlineStr">
        <is>
          <t>1단계</t>
        </is>
      </c>
      <c r="C11" s="3" t="inlineStr">
        <is>
          <t>[ 공정 단가 ] 시트 → 노무비·자재비·소요일수 입력 (30개만 해도 됨)</t>
        </is>
      </c>
    </row>
    <row r="12" ht="22" customHeight="1">
      <c r="B12" s="5" t="inlineStr">
        <is>
          <t>2단계</t>
        </is>
      </c>
      <c r="C12" s="3" t="inlineStr">
        <is>
          <t>[ 인건비 ] 시트 → 직종별 일당 입력</t>
        </is>
      </c>
    </row>
    <row r="13" ht="22" customHeight="1">
      <c r="B13" s="5" t="inlineStr">
        <is>
          <t>3단계</t>
        </is>
      </c>
      <c r="C13" s="3" t="inlineStr">
        <is>
          <t>[ 자재 단가 ] 시트 → 주요 자재 단가 입력</t>
        </is>
      </c>
    </row>
    <row r="14" ht="22" customHeight="1">
      <c r="B14" s="5" t="inlineStr">
        <is>
          <t>4단계</t>
        </is>
      </c>
      <c r="C14" s="3" t="inlineStr">
        <is>
          <t>[ 부자재 ] 시트 → 소모품 단가 입력</t>
        </is>
      </c>
    </row>
    <row r="15" ht="22" customHeight="1">
      <c r="B15" s="5" t="inlineStr">
        <is>
          <t>5단계</t>
        </is>
      </c>
      <c r="C15" s="3" t="inlineStr">
        <is>
          <t>[ 외주/장비 ] 시트 → 외주 단가 입력</t>
        </is>
      </c>
    </row>
    <row r="16" ht="22" customHeight="1"/>
    <row r="17" ht="22" customHeight="1">
      <c r="B17" s="3" t="inlineStr">
        <is>
          <t>⚠️ 주의</t>
        </is>
      </c>
      <c r="C17" s="3" t="inlineStr">
        <is>
          <t>단가를 모르면 공백으로 두세요. 나중에 채워도 됩니다.</t>
        </is>
      </c>
    </row>
    <row r="18" ht="22" customHeight="1">
      <c r="B18" s="3" t="inlineStr">
        <is>
          <t>⚠️ 주의</t>
        </is>
      </c>
      <c r="C18" s="3" t="inlineStr">
        <is>
          <t>열을 추가하거나 삭제하지 마세요.</t>
        </is>
      </c>
    </row>
    <row r="19" ht="22" customHeight="1">
      <c r="B19" s="3" t="inlineStr">
        <is>
          <t>⚠️ 주의</t>
        </is>
      </c>
      <c r="C19" s="3" t="inlineStr">
        <is>
          <t>행 순서를 바꾸지 마세요.</t>
        </is>
      </c>
    </row>
    <row r="20" ht="22" customHeight="1"/>
    <row r="21" ht="22" customHeight="1">
      <c r="B21" s="4" t="inlineStr">
        <is>
          <t>📌 우선순위</t>
        </is>
      </c>
    </row>
    <row r="22" ht="22" customHeight="1">
      <c r="B22" s="3" t="inlineStr">
        <is>
          <t>P1 (빨간배경)</t>
        </is>
      </c>
      <c r="C22" s="3" t="inlineStr">
        <is>
          <t>지금 당장 입력 필요 — 견적의 80%를 차지합니다</t>
        </is>
      </c>
    </row>
    <row r="23" ht="22" customHeight="1">
      <c r="B23" s="3" t="inlineStr">
        <is>
          <t>P2 (노란배경)</t>
        </is>
      </c>
      <c r="C23" s="3" t="inlineStr">
        <is>
          <t>중요하지만 나중에 입력해도 됩니다</t>
        </is>
      </c>
    </row>
    <row r="24" ht="22" customHeight="1">
      <c r="B24" s="3" t="inlineStr">
        <is>
          <t>P3 (회색배경)</t>
        </is>
      </c>
      <c r="C24" s="3" t="inlineStr">
        <is>
          <t>여유 있을 때 입력하세요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7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8" customWidth="1" min="3" max="3"/>
    <col width="30" customWidth="1" min="4" max="4"/>
    <col width="8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40" customWidth="1" min="13" max="13"/>
  </cols>
  <sheetData>
    <row r="1" ht="35" customHeight="1">
      <c r="B1" s="6" t="inlineStr">
        <is>
          <t>🔨 공정 단가 입력표 — ECOREAN 자동견적 OS</t>
        </is>
      </c>
    </row>
    <row r="2">
      <c r="B2" s="7" t="inlineStr">
        <is>
          <t>🔵 파란 셀 = 직접 입력   🟢 초록 셀 = 자동 계산</t>
        </is>
      </c>
    </row>
    <row r="3" ht="36" customHeight="1">
      <c r="B3" s="8" t="inlineStr">
        <is>
          <t>No</t>
        </is>
      </c>
      <c r="C3" s="8" t="inlineStr">
        <is>
          <t>우선순위</t>
        </is>
      </c>
      <c r="D3" s="8" t="inlineStr">
        <is>
          <t>대분류</t>
        </is>
      </c>
      <c r="E3" s="8" t="inlineStr">
        <is>
          <t>공정명</t>
        </is>
      </c>
      <c r="F3" s="8" t="inlineStr">
        <is>
          <t>단위</t>
        </is>
      </c>
      <c r="G3" s="8" t="inlineStr">
        <is>
          <t>노무비
(원/단위)</t>
        </is>
      </c>
      <c r="H3" s="8" t="inlineStr">
        <is>
          <t>자재비
(원/단위)</t>
        </is>
      </c>
      <c r="I3" s="8" t="inlineStr">
        <is>
          <t>장비비
(원/단위)</t>
        </is>
      </c>
      <c r="J3" s="8" t="inlineStr">
        <is>
          <t>부자재비
(원/단위)</t>
        </is>
      </c>
      <c r="K3" s="8" t="inlineStr">
        <is>
          <t>손실률
(%)</t>
        </is>
      </c>
      <c r="L3" s="8" t="inlineStr">
        <is>
          <t>기본단가
(자동계산)</t>
        </is>
      </c>
      <c r="M3" s="8" t="inlineStr">
        <is>
          <t>소요일수
(일)</t>
        </is>
      </c>
      <c r="N3" s="8" t="inlineStr">
        <is>
          <t>비고</t>
        </is>
      </c>
    </row>
    <row r="4" ht="22" customHeight="1">
      <c r="B4" s="9" t="n">
        <v>1</v>
      </c>
      <c r="C4" s="10" t="inlineStr">
        <is>
          <t>P1 최우선</t>
        </is>
      </c>
      <c r="D4" s="11" t="inlineStr">
        <is>
          <t>사전공정</t>
        </is>
      </c>
      <c r="E4" s="12" t="inlineStr">
        <is>
          <t>바닥 보양 (PE+합판)</t>
        </is>
      </c>
      <c r="F4" s="13" t="inlineStr">
        <is>
          <t>㎡</t>
        </is>
      </c>
      <c r="G4" s="14" t="n"/>
      <c r="H4" s="14" t="n"/>
      <c r="I4" s="14" t="n"/>
      <c r="J4" s="14" t="n"/>
      <c r="K4" s="14" t="n"/>
      <c r="L4" s="15">
        <f>IFERROR(G4+H4+I4+J4,"미입력")</f>
        <v/>
      </c>
      <c r="M4" s="14" t="n"/>
      <c r="N4" s="14" t="n"/>
    </row>
    <row r="5" ht="22" customHeight="1">
      <c r="B5" s="9" t="n">
        <v>2</v>
      </c>
      <c r="C5" s="10" t="inlineStr">
        <is>
          <t>P1 최우선</t>
        </is>
      </c>
      <c r="D5" s="11" t="inlineStr">
        <is>
          <t>사전공정</t>
        </is>
      </c>
      <c r="E5" s="12" t="inlineStr">
        <is>
          <t>기존 마루·장판 철거</t>
        </is>
      </c>
      <c r="F5" s="13" t="inlineStr">
        <is>
          <t>㎡</t>
        </is>
      </c>
      <c r="G5" s="14" t="n"/>
      <c r="H5" s="14" t="n"/>
      <c r="I5" s="14" t="n"/>
      <c r="J5" s="14" t="n"/>
      <c r="K5" s="14" t="n"/>
      <c r="L5" s="15">
        <f>IFERROR(G5+H5+I5+J5,"미입력")</f>
        <v/>
      </c>
      <c r="M5" s="14" t="n"/>
      <c r="N5" s="14" t="n"/>
    </row>
    <row r="6" ht="22" customHeight="1">
      <c r="B6" s="9" t="n">
        <v>3</v>
      </c>
      <c r="C6" s="10" t="inlineStr">
        <is>
          <t>P1 최우선</t>
        </is>
      </c>
      <c r="D6" s="11" t="inlineStr">
        <is>
          <t>사전공정</t>
        </is>
      </c>
      <c r="E6" s="12" t="inlineStr">
        <is>
          <t>기존 타일 철거 (바닥)</t>
        </is>
      </c>
      <c r="F6" s="13" t="inlineStr">
        <is>
          <t>㎡</t>
        </is>
      </c>
      <c r="G6" s="14" t="n"/>
      <c r="H6" s="14" t="n"/>
      <c r="I6" s="14" t="n"/>
      <c r="J6" s="14" t="n"/>
      <c r="K6" s="14" t="n"/>
      <c r="L6" s="15">
        <f>IFERROR(G6+H6+I6+J6,"미입력")</f>
        <v/>
      </c>
      <c r="M6" s="14" t="n"/>
      <c r="N6" s="14" t="n"/>
    </row>
    <row r="7" ht="22" customHeight="1">
      <c r="B7" s="9" t="n">
        <v>4</v>
      </c>
      <c r="C7" s="10" t="inlineStr">
        <is>
          <t>P1 최우선</t>
        </is>
      </c>
      <c r="D7" s="11" t="inlineStr">
        <is>
          <t>사전공정</t>
        </is>
      </c>
      <c r="E7" s="12" t="inlineStr">
        <is>
          <t>기존 타일 철거 (벽)</t>
        </is>
      </c>
      <c r="F7" s="13" t="inlineStr">
        <is>
          <t>㎡</t>
        </is>
      </c>
      <c r="G7" s="14" t="n"/>
      <c r="H7" s="14" t="n"/>
      <c r="I7" s="14" t="n"/>
      <c r="J7" s="14" t="n"/>
      <c r="K7" s="14" t="n"/>
      <c r="L7" s="15">
        <f>IFERROR(G7+H7+I7+J7,"미입력")</f>
        <v/>
      </c>
      <c r="M7" s="14" t="n"/>
      <c r="N7" s="14" t="n"/>
    </row>
    <row r="8" ht="22" customHeight="1">
      <c r="B8" s="9" t="n">
        <v>5</v>
      </c>
      <c r="C8" s="10" t="inlineStr">
        <is>
          <t>P1 최우선</t>
        </is>
      </c>
      <c r="D8" s="11" t="inlineStr">
        <is>
          <t>사전공정</t>
        </is>
      </c>
      <c r="E8" s="12" t="inlineStr">
        <is>
          <t>기존 도배 제거</t>
        </is>
      </c>
      <c r="F8" s="13" t="inlineStr">
        <is>
          <t>㎡</t>
        </is>
      </c>
      <c r="G8" s="14" t="n"/>
      <c r="H8" s="14" t="n"/>
      <c r="I8" s="14" t="n"/>
      <c r="J8" s="14" t="n"/>
      <c r="K8" s="14" t="n"/>
      <c r="L8" s="15">
        <f>IFERROR(G8+H8+I8+J8,"미입력")</f>
        <v/>
      </c>
      <c r="M8" s="14" t="n"/>
      <c r="N8" s="14" t="n"/>
    </row>
    <row r="9" ht="22" customHeight="1">
      <c r="B9" s="9" t="n">
        <v>6</v>
      </c>
      <c r="C9" s="10" t="inlineStr">
        <is>
          <t>P1 최우선</t>
        </is>
      </c>
      <c r="D9" s="11" t="inlineStr">
        <is>
          <t>사전공정</t>
        </is>
      </c>
      <c r="E9" s="12" t="inlineStr">
        <is>
          <t>폐기물 수거·반출 (톤)</t>
        </is>
      </c>
      <c r="F9" s="13" t="inlineStr">
        <is>
          <t>톤</t>
        </is>
      </c>
      <c r="G9" s="14" t="n"/>
      <c r="H9" s="14" t="n"/>
      <c r="I9" s="14" t="n"/>
      <c r="J9" s="14" t="n"/>
      <c r="K9" s="14" t="n"/>
      <c r="L9" s="15">
        <f>IFERROR(G9+H9+I9+J9,"미입력")</f>
        <v/>
      </c>
      <c r="M9" s="14" t="n"/>
      <c r="N9" s="14" t="n"/>
    </row>
    <row r="10" ht="22" customHeight="1">
      <c r="B10" s="9" t="n">
        <v>7</v>
      </c>
      <c r="C10" s="10" t="inlineStr">
        <is>
          <t>P1 최우선</t>
        </is>
      </c>
      <c r="D10" s="11" t="inlineStr">
        <is>
          <t>방수</t>
        </is>
      </c>
      <c r="E10" s="12" t="inlineStr">
        <is>
          <t>욕실 바닥 방수 (우레탄 2회)</t>
        </is>
      </c>
      <c r="F10" s="13" t="inlineStr">
        <is>
          <t>㎡</t>
        </is>
      </c>
      <c r="G10" s="14" t="n"/>
      <c r="H10" s="14" t="n"/>
      <c r="I10" s="14" t="n"/>
      <c r="J10" s="14" t="n"/>
      <c r="K10" s="14" t="n"/>
      <c r="L10" s="15">
        <f>IFERROR(G10+H10+I10+J10,"미입력")</f>
        <v/>
      </c>
      <c r="M10" s="14" t="n"/>
      <c r="N10" s="14" t="n"/>
    </row>
    <row r="11" ht="22" customHeight="1">
      <c r="B11" s="16" t="n">
        <v>8</v>
      </c>
      <c r="C11" s="17" t="inlineStr">
        <is>
          <t>P2 중요</t>
        </is>
      </c>
      <c r="D11" s="18" t="inlineStr">
        <is>
          <t>방수</t>
        </is>
      </c>
      <c r="E11" s="19" t="inlineStr">
        <is>
          <t>발코니 방수</t>
        </is>
      </c>
      <c r="F11" s="20" t="inlineStr">
        <is>
          <t>㎡</t>
        </is>
      </c>
      <c r="G11" s="14" t="n"/>
      <c r="H11" s="14" t="n"/>
      <c r="I11" s="14" t="n"/>
      <c r="J11" s="14" t="n"/>
      <c r="K11" s="14" t="n"/>
      <c r="L11" s="15">
        <f>IFERROR(G11+H11+I11+J11,"미입력")</f>
        <v/>
      </c>
      <c r="M11" s="14" t="n"/>
      <c r="N11" s="14" t="n"/>
    </row>
    <row r="12" ht="22" customHeight="1">
      <c r="B12" s="9" t="n">
        <v>9</v>
      </c>
      <c r="C12" s="10" t="inlineStr">
        <is>
          <t>P1 최우선</t>
        </is>
      </c>
      <c r="D12" s="11" t="inlineStr">
        <is>
          <t>미장</t>
        </is>
      </c>
      <c r="E12" s="12" t="inlineStr">
        <is>
          <t>바닥 시멘트 미장</t>
        </is>
      </c>
      <c r="F12" s="13" t="inlineStr">
        <is>
          <t>㎡</t>
        </is>
      </c>
      <c r="G12" s="14" t="n"/>
      <c r="H12" s="14" t="n"/>
      <c r="I12" s="14" t="n"/>
      <c r="J12" s="14" t="n"/>
      <c r="K12" s="14" t="n"/>
      <c r="L12" s="15">
        <f>IFERROR(G12+H12+I12+J12,"미입력")</f>
        <v/>
      </c>
      <c r="M12" s="14" t="n"/>
      <c r="N12" s="14" t="n"/>
    </row>
    <row r="13" ht="22" customHeight="1">
      <c r="B13" s="9" t="n">
        <v>10</v>
      </c>
      <c r="C13" s="10" t="inlineStr">
        <is>
          <t>P1 최우선</t>
        </is>
      </c>
      <c r="D13" s="11" t="inlineStr">
        <is>
          <t>미장</t>
        </is>
      </c>
      <c r="E13" s="12" t="inlineStr">
        <is>
          <t>셀프레벨링 컴파운드</t>
        </is>
      </c>
      <c r="F13" s="13" t="inlineStr">
        <is>
          <t>㎡</t>
        </is>
      </c>
      <c r="G13" s="14" t="n"/>
      <c r="H13" s="14" t="n"/>
      <c r="I13" s="14" t="n"/>
      <c r="J13" s="14" t="n"/>
      <c r="K13" s="14" t="n"/>
      <c r="L13" s="15">
        <f>IFERROR(G13+H13+I13+J13,"미입력")</f>
        <v/>
      </c>
      <c r="M13" s="14" t="n"/>
      <c r="N13" s="14" t="n"/>
    </row>
    <row r="14" ht="22" customHeight="1">
      <c r="B14" s="9" t="n">
        <v>11</v>
      </c>
      <c r="C14" s="10" t="inlineStr">
        <is>
          <t>P1 최우선</t>
        </is>
      </c>
      <c r="D14" s="11" t="inlineStr">
        <is>
          <t>타일</t>
        </is>
      </c>
      <c r="E14" s="12" t="inlineStr">
        <is>
          <t>바닥 타일 (300×300 이하)</t>
        </is>
      </c>
      <c r="F14" s="13" t="inlineStr">
        <is>
          <t>㎡</t>
        </is>
      </c>
      <c r="G14" s="14" t="n"/>
      <c r="H14" s="14" t="n"/>
      <c r="I14" s="14" t="n"/>
      <c r="J14" s="14" t="n"/>
      <c r="K14" s="14" t="n"/>
      <c r="L14" s="15">
        <f>IFERROR(G14+H14+I14+J14,"미입력")</f>
        <v/>
      </c>
      <c r="M14" s="14" t="n"/>
      <c r="N14" s="14" t="n"/>
    </row>
    <row r="15" ht="22" customHeight="1">
      <c r="B15" s="9" t="n">
        <v>12</v>
      </c>
      <c r="C15" s="10" t="inlineStr">
        <is>
          <t>P1 최우선</t>
        </is>
      </c>
      <c r="D15" s="11" t="inlineStr">
        <is>
          <t>타일</t>
        </is>
      </c>
      <c r="E15" s="12" t="inlineStr">
        <is>
          <t>바닥 타일 (600×600)</t>
        </is>
      </c>
      <c r="F15" s="13" t="inlineStr">
        <is>
          <t>㎡</t>
        </is>
      </c>
      <c r="G15" s="14" t="n"/>
      <c r="H15" s="14" t="n"/>
      <c r="I15" s="14" t="n"/>
      <c r="J15" s="14" t="n"/>
      <c r="K15" s="14" t="n"/>
      <c r="L15" s="15">
        <f>IFERROR(G15+H15+I15+J15,"미입력")</f>
        <v/>
      </c>
      <c r="M15" s="14" t="n"/>
      <c r="N15" s="14" t="n"/>
    </row>
    <row r="16" ht="22" customHeight="1">
      <c r="B16" s="9" t="n">
        <v>13</v>
      </c>
      <c r="C16" s="10" t="inlineStr">
        <is>
          <t>P1 최우선</t>
        </is>
      </c>
      <c r="D16" s="11" t="inlineStr">
        <is>
          <t>타일</t>
        </is>
      </c>
      <c r="E16" s="12" t="inlineStr">
        <is>
          <t>바닥 타일 (600×1200 이상)</t>
        </is>
      </c>
      <c r="F16" s="13" t="inlineStr">
        <is>
          <t>㎡</t>
        </is>
      </c>
      <c r="G16" s="14" t="n"/>
      <c r="H16" s="14" t="n"/>
      <c r="I16" s="14" t="n"/>
      <c r="J16" s="14" t="n"/>
      <c r="K16" s="14" t="n"/>
      <c r="L16" s="15">
        <f>IFERROR(G16+H16+I16+J16,"미입력")</f>
        <v/>
      </c>
      <c r="M16" s="14" t="n"/>
      <c r="N16" s="14" t="n"/>
    </row>
    <row r="17" ht="22" customHeight="1">
      <c r="B17" s="9" t="n">
        <v>14</v>
      </c>
      <c r="C17" s="10" t="inlineStr">
        <is>
          <t>P1 최우선</t>
        </is>
      </c>
      <c r="D17" s="11" t="inlineStr">
        <is>
          <t>타일</t>
        </is>
      </c>
      <c r="E17" s="12" t="inlineStr">
        <is>
          <t>욕실 벽 타일 (200×400)</t>
        </is>
      </c>
      <c r="F17" s="13" t="inlineStr">
        <is>
          <t>㎡</t>
        </is>
      </c>
      <c r="G17" s="14" t="n"/>
      <c r="H17" s="14" t="n"/>
      <c r="I17" s="14" t="n"/>
      <c r="J17" s="14" t="n"/>
      <c r="K17" s="14" t="n"/>
      <c r="L17" s="15">
        <f>IFERROR(G17+H17+I17+J17,"미입력")</f>
        <v/>
      </c>
      <c r="M17" s="14" t="n"/>
      <c r="N17" s="14" t="n"/>
    </row>
    <row r="18" ht="22" customHeight="1">
      <c r="B18" s="9" t="n">
        <v>15</v>
      </c>
      <c r="C18" s="10" t="inlineStr">
        <is>
          <t>P1 최우선</t>
        </is>
      </c>
      <c r="D18" s="11" t="inlineStr">
        <is>
          <t>타일</t>
        </is>
      </c>
      <c r="E18" s="12" t="inlineStr">
        <is>
          <t>주방 벽 타일</t>
        </is>
      </c>
      <c r="F18" s="13" t="inlineStr">
        <is>
          <t>㎡</t>
        </is>
      </c>
      <c r="G18" s="14" t="n"/>
      <c r="H18" s="14" t="n"/>
      <c r="I18" s="14" t="n"/>
      <c r="J18" s="14" t="n"/>
      <c r="K18" s="14" t="n"/>
      <c r="L18" s="15">
        <f>IFERROR(G18+H18+I18+J18,"미입력")</f>
        <v/>
      </c>
      <c r="M18" s="14" t="n"/>
      <c r="N18" s="14" t="n"/>
    </row>
    <row r="19" ht="22" customHeight="1">
      <c r="B19" s="9" t="n">
        <v>16</v>
      </c>
      <c r="C19" s="10" t="inlineStr">
        <is>
          <t>P1 최우선</t>
        </is>
      </c>
      <c r="D19" s="11" t="inlineStr">
        <is>
          <t>타일</t>
        </is>
      </c>
      <c r="E19" s="12" t="inlineStr">
        <is>
          <t>줄눈 시공 (일반)</t>
        </is>
      </c>
      <c r="F19" s="13" t="inlineStr">
        <is>
          <t>㎡</t>
        </is>
      </c>
      <c r="G19" s="14" t="n"/>
      <c r="H19" s="14" t="n"/>
      <c r="I19" s="14" t="n"/>
      <c r="J19" s="14" t="n"/>
      <c r="K19" s="14" t="n"/>
      <c r="L19" s="15">
        <f>IFERROR(G19+H19+I19+J19,"미입력")</f>
        <v/>
      </c>
      <c r="M19" s="14" t="n"/>
      <c r="N19" s="14" t="n"/>
    </row>
    <row r="20" ht="22" customHeight="1">
      <c r="B20" s="9" t="n">
        <v>17</v>
      </c>
      <c r="C20" s="10" t="inlineStr">
        <is>
          <t>P1 최우선</t>
        </is>
      </c>
      <c r="D20" s="11" t="inlineStr">
        <is>
          <t>타일</t>
        </is>
      </c>
      <c r="E20" s="12" t="inlineStr">
        <is>
          <t>줄눈 시공 (에폭시)</t>
        </is>
      </c>
      <c r="F20" s="13" t="inlineStr">
        <is>
          <t>㎡</t>
        </is>
      </c>
      <c r="G20" s="14" t="n"/>
      <c r="H20" s="14" t="n"/>
      <c r="I20" s="14" t="n"/>
      <c r="J20" s="14" t="n"/>
      <c r="K20" s="14" t="n"/>
      <c r="L20" s="15">
        <f>IFERROR(G20+H20+I20+J20,"미입력")</f>
        <v/>
      </c>
      <c r="M20" s="14" t="n"/>
      <c r="N20" s="14" t="n"/>
    </row>
    <row r="21" ht="22" customHeight="1">
      <c r="B21" s="9" t="n">
        <v>18</v>
      </c>
      <c r="C21" s="10" t="inlineStr">
        <is>
          <t>P1 최우선</t>
        </is>
      </c>
      <c r="D21" s="11" t="inlineStr">
        <is>
          <t>목공·구조</t>
        </is>
      </c>
      <c r="E21" s="12" t="inlineStr">
        <is>
          <t>LGS 경량벽체 (스터드+러너)</t>
        </is>
      </c>
      <c r="F21" s="13" t="inlineStr">
        <is>
          <t>㎡</t>
        </is>
      </c>
      <c r="G21" s="14" t="n"/>
      <c r="H21" s="14" t="n"/>
      <c r="I21" s="14" t="n"/>
      <c r="J21" s="14" t="n"/>
      <c r="K21" s="14" t="n"/>
      <c r="L21" s="15">
        <f>IFERROR(G21+H21+I21+J21,"미입력")</f>
        <v/>
      </c>
      <c r="M21" s="14" t="n"/>
      <c r="N21" s="14" t="n"/>
    </row>
    <row r="22" ht="22" customHeight="1">
      <c r="B22" s="9" t="n">
        <v>19</v>
      </c>
      <c r="C22" s="10" t="inlineStr">
        <is>
          <t>P1 최우선</t>
        </is>
      </c>
      <c r="D22" s="11" t="inlineStr">
        <is>
          <t>목공·구조</t>
        </is>
      </c>
      <c r="E22" s="12" t="inlineStr">
        <is>
          <t>LGS 천장틀 (M-BAR+C-BAR)</t>
        </is>
      </c>
      <c r="F22" s="13" t="inlineStr">
        <is>
          <t>㎡</t>
        </is>
      </c>
      <c r="G22" s="14" t="n"/>
      <c r="H22" s="14" t="n"/>
      <c r="I22" s="14" t="n"/>
      <c r="J22" s="14" t="n"/>
      <c r="K22" s="14" t="n"/>
      <c r="L22" s="15">
        <f>IFERROR(G22+H22+I22+J22,"미입력")</f>
        <v/>
      </c>
      <c r="M22" s="14" t="n"/>
      <c r="N22" s="14" t="n"/>
    </row>
    <row r="23" ht="22" customHeight="1">
      <c r="B23" s="9" t="n">
        <v>20</v>
      </c>
      <c r="C23" s="10" t="inlineStr">
        <is>
          <t>P1 최우선</t>
        </is>
      </c>
      <c r="D23" s="11" t="inlineStr">
        <is>
          <t>목공·구조</t>
        </is>
      </c>
      <c r="E23" s="12" t="inlineStr">
        <is>
          <t>석고보드 벽 마감</t>
        </is>
      </c>
      <c r="F23" s="13" t="inlineStr">
        <is>
          <t>㎡</t>
        </is>
      </c>
      <c r="G23" s="14" t="n"/>
      <c r="H23" s="14" t="n"/>
      <c r="I23" s="14" t="n"/>
      <c r="J23" s="14" t="n"/>
      <c r="K23" s="14" t="n"/>
      <c r="L23" s="15">
        <f>IFERROR(G23+H23+I23+J23,"미입력")</f>
        <v/>
      </c>
      <c r="M23" s="14" t="n"/>
      <c r="N23" s="14" t="n"/>
    </row>
    <row r="24" ht="22" customHeight="1">
      <c r="B24" s="9" t="n">
        <v>21</v>
      </c>
      <c r="C24" s="10" t="inlineStr">
        <is>
          <t>P1 최우선</t>
        </is>
      </c>
      <c r="D24" s="11" t="inlineStr">
        <is>
          <t>목공·구조</t>
        </is>
      </c>
      <c r="E24" s="12" t="inlineStr">
        <is>
          <t>석고보드 천장 마감</t>
        </is>
      </c>
      <c r="F24" s="13" t="inlineStr">
        <is>
          <t>㎡</t>
        </is>
      </c>
      <c r="G24" s="14" t="n"/>
      <c r="H24" s="14" t="n"/>
      <c r="I24" s="14" t="n"/>
      <c r="J24" s="14" t="n"/>
      <c r="K24" s="14" t="n"/>
      <c r="L24" s="15">
        <f>IFERROR(G24+H24+I24+J24,"미입력")</f>
        <v/>
      </c>
      <c r="M24" s="14" t="n"/>
      <c r="N24" s="14" t="n"/>
    </row>
    <row r="25" ht="22" customHeight="1">
      <c r="B25" s="9" t="n">
        <v>22</v>
      </c>
      <c r="C25" s="10" t="inlineStr">
        <is>
          <t>P1 최우선</t>
        </is>
      </c>
      <c r="D25" s="11" t="inlineStr">
        <is>
          <t>목공·구조</t>
        </is>
      </c>
      <c r="E25" s="12" t="inlineStr">
        <is>
          <t>목공 골조 (목대)</t>
        </is>
      </c>
      <c r="F25" s="13" t="inlineStr">
        <is>
          <t>㎡</t>
        </is>
      </c>
      <c r="G25" s="14" t="n"/>
      <c r="H25" s="14" t="n"/>
      <c r="I25" s="14" t="n"/>
      <c r="J25" s="14" t="n"/>
      <c r="K25" s="14" t="n"/>
      <c r="L25" s="15">
        <f>IFERROR(G25+H25+I25+J25,"미입력")</f>
        <v/>
      </c>
      <c r="M25" s="14" t="n"/>
      <c r="N25" s="14" t="n"/>
    </row>
    <row r="26" ht="22" customHeight="1">
      <c r="B26" s="9" t="n">
        <v>23</v>
      </c>
      <c r="C26" s="10" t="inlineStr">
        <is>
          <t>P1 최우선</t>
        </is>
      </c>
      <c r="D26" s="11" t="inlineStr">
        <is>
          <t>목공·구조</t>
        </is>
      </c>
      <c r="E26" s="12" t="inlineStr">
        <is>
          <t>간접등박스</t>
        </is>
      </c>
      <c r="F26" s="13" t="inlineStr">
        <is>
          <t>m</t>
        </is>
      </c>
      <c r="G26" s="14" t="n"/>
      <c r="H26" s="14" t="n"/>
      <c r="I26" s="14" t="n"/>
      <c r="J26" s="14" t="n"/>
      <c r="K26" s="14" t="n"/>
      <c r="L26" s="15">
        <f>IFERROR(G26+H26+I26+J26,"미입력")</f>
        <v/>
      </c>
      <c r="M26" s="14" t="n"/>
      <c r="N26" s="14" t="n"/>
    </row>
    <row r="27" ht="22" customHeight="1">
      <c r="B27" s="16" t="n">
        <v>24</v>
      </c>
      <c r="C27" s="17" t="inlineStr">
        <is>
          <t>P2 중요</t>
        </is>
      </c>
      <c r="D27" s="18" t="inlineStr">
        <is>
          <t>목공·구조</t>
        </is>
      </c>
      <c r="E27" s="19" t="inlineStr">
        <is>
          <t>커튼박스</t>
        </is>
      </c>
      <c r="F27" s="20" t="inlineStr">
        <is>
          <t>m</t>
        </is>
      </c>
      <c r="G27" s="14" t="n"/>
      <c r="H27" s="14" t="n"/>
      <c r="I27" s="14" t="n"/>
      <c r="J27" s="14" t="n"/>
      <c r="K27" s="14" t="n"/>
      <c r="L27" s="15">
        <f>IFERROR(G27+H27+I27+J27,"미입력")</f>
        <v/>
      </c>
      <c r="M27" s="14" t="n"/>
      <c r="N27" s="14" t="n"/>
    </row>
    <row r="28" ht="22" customHeight="1">
      <c r="B28" s="9" t="n">
        <v>25</v>
      </c>
      <c r="C28" s="10" t="inlineStr">
        <is>
          <t>P1 최우선</t>
        </is>
      </c>
      <c r="D28" s="11" t="inlineStr">
        <is>
          <t>창호</t>
        </is>
      </c>
      <c r="E28" s="12" t="inlineStr">
        <is>
          <t>시스템창호 (PVC 복층유리)</t>
        </is>
      </c>
      <c r="F28" s="13" t="inlineStr">
        <is>
          <t>EA</t>
        </is>
      </c>
      <c r="G28" s="14" t="n"/>
      <c r="H28" s="14" t="n"/>
      <c r="I28" s="14" t="n"/>
      <c r="J28" s="14" t="n"/>
      <c r="K28" s="14" t="n"/>
      <c r="L28" s="15">
        <f>IFERROR(G28+H28+I28+J28,"미입력")</f>
        <v/>
      </c>
      <c r="M28" s="14" t="n"/>
      <c r="N28" s="14" t="n"/>
    </row>
    <row r="29" ht="22" customHeight="1">
      <c r="B29" s="9" t="n">
        <v>26</v>
      </c>
      <c r="C29" s="10" t="inlineStr">
        <is>
          <t>P1 최우선</t>
        </is>
      </c>
      <c r="D29" s="11" t="inlineStr">
        <is>
          <t>창호</t>
        </is>
      </c>
      <c r="E29" s="12" t="inlineStr">
        <is>
          <t>일반 알루미늄 창호</t>
        </is>
      </c>
      <c r="F29" s="13" t="inlineStr">
        <is>
          <t>EA</t>
        </is>
      </c>
      <c r="G29" s="14" t="n"/>
      <c r="H29" s="14" t="n"/>
      <c r="I29" s="14" t="n"/>
      <c r="J29" s="14" t="n"/>
      <c r="K29" s="14" t="n"/>
      <c r="L29" s="15">
        <f>IFERROR(G29+H29+I29+J29,"미입력")</f>
        <v/>
      </c>
      <c r="M29" s="14" t="n"/>
      <c r="N29" s="14" t="n"/>
    </row>
    <row r="30" ht="22" customHeight="1">
      <c r="B30" s="9" t="n">
        <v>27</v>
      </c>
      <c r="C30" s="10" t="inlineStr">
        <is>
          <t>P1 최우선</t>
        </is>
      </c>
      <c r="D30" s="11" t="inlineStr">
        <is>
          <t>도어</t>
        </is>
      </c>
      <c r="E30" s="12" t="inlineStr">
        <is>
          <t>실내문 설치 (여닫이)</t>
        </is>
      </c>
      <c r="F30" s="13" t="inlineStr">
        <is>
          <t>EA</t>
        </is>
      </c>
      <c r="G30" s="14" t="n"/>
      <c r="H30" s="14" t="n"/>
      <c r="I30" s="14" t="n"/>
      <c r="J30" s="14" t="n"/>
      <c r="K30" s="14" t="n"/>
      <c r="L30" s="15">
        <f>IFERROR(G30+H30+I30+J30,"미입력")</f>
        <v/>
      </c>
      <c r="M30" s="14" t="n"/>
      <c r="N30" s="14" t="n"/>
    </row>
    <row r="31" ht="22" customHeight="1">
      <c r="B31" s="16" t="n">
        <v>28</v>
      </c>
      <c r="C31" s="17" t="inlineStr">
        <is>
          <t>P2 중요</t>
        </is>
      </c>
      <c r="D31" s="18" t="inlineStr">
        <is>
          <t>도어</t>
        </is>
      </c>
      <c r="E31" s="19" t="inlineStr">
        <is>
          <t>실내문 설치 (미닫이)</t>
        </is>
      </c>
      <c r="F31" s="20" t="inlineStr">
        <is>
          <t>EA</t>
        </is>
      </c>
      <c r="G31" s="14" t="n"/>
      <c r="H31" s="14" t="n"/>
      <c r="I31" s="14" t="n"/>
      <c r="J31" s="14" t="n"/>
      <c r="K31" s="14" t="n"/>
      <c r="L31" s="15">
        <f>IFERROR(G31+H31+I31+J31,"미입력")</f>
        <v/>
      </c>
      <c r="M31" s="14" t="n"/>
      <c r="N31" s="14" t="n"/>
    </row>
    <row r="32" ht="22" customHeight="1">
      <c r="B32" s="9" t="n">
        <v>29</v>
      </c>
      <c r="C32" s="10" t="inlineStr">
        <is>
          <t>P1 최우선</t>
        </is>
      </c>
      <c r="D32" s="11" t="inlineStr">
        <is>
          <t>도어</t>
        </is>
      </c>
      <c r="E32" s="12" t="inlineStr">
        <is>
          <t>현관문 교체</t>
        </is>
      </c>
      <c r="F32" s="13" t="inlineStr">
        <is>
          <t>EA</t>
        </is>
      </c>
      <c r="G32" s="14" t="n"/>
      <c r="H32" s="14" t="n"/>
      <c r="I32" s="14" t="n"/>
      <c r="J32" s="14" t="n"/>
      <c r="K32" s="14" t="n"/>
      <c r="L32" s="15">
        <f>IFERROR(G32+H32+I32+J32,"미입력")</f>
        <v/>
      </c>
      <c r="M32" s="14" t="n"/>
      <c r="N32" s="14" t="n"/>
    </row>
    <row r="33" ht="22" customHeight="1">
      <c r="B33" s="16" t="n">
        <v>30</v>
      </c>
      <c r="C33" s="17" t="inlineStr">
        <is>
          <t>P2 중요</t>
        </is>
      </c>
      <c r="D33" s="18" t="inlineStr">
        <is>
          <t>도어</t>
        </is>
      </c>
      <c r="E33" s="19" t="inlineStr">
        <is>
          <t>중문 설치</t>
        </is>
      </c>
      <c r="F33" s="20" t="inlineStr">
        <is>
          <t>EA</t>
        </is>
      </c>
      <c r="G33" s="14" t="n"/>
      <c r="H33" s="14" t="n"/>
      <c r="I33" s="14" t="n"/>
      <c r="J33" s="14" t="n"/>
      <c r="K33" s="14" t="n"/>
      <c r="L33" s="15">
        <f>IFERROR(G33+H33+I33+J33,"미입력")</f>
        <v/>
      </c>
      <c r="M33" s="14" t="n"/>
      <c r="N33" s="14" t="n"/>
    </row>
    <row r="34" ht="22" customHeight="1">
      <c r="B34" s="9" t="n">
        <v>31</v>
      </c>
      <c r="C34" s="10" t="inlineStr">
        <is>
          <t>P1 최우선</t>
        </is>
      </c>
      <c r="D34" s="11" t="inlineStr">
        <is>
          <t>도장</t>
        </is>
      </c>
      <c r="E34" s="12" t="inlineStr">
        <is>
          <t>퍼티 (초벌+재벌)</t>
        </is>
      </c>
      <c r="F34" s="13" t="inlineStr">
        <is>
          <t>㎡</t>
        </is>
      </c>
      <c r="G34" s="14" t="n"/>
      <c r="H34" s="14" t="n"/>
      <c r="I34" s="14" t="n"/>
      <c r="J34" s="14" t="n"/>
      <c r="K34" s="14" t="n"/>
      <c r="L34" s="15">
        <f>IFERROR(G34+H34+I34+J34,"미입력")</f>
        <v/>
      </c>
      <c r="M34" s="14" t="n"/>
      <c r="N34" s="14" t="n"/>
    </row>
    <row r="35" ht="22" customHeight="1">
      <c r="B35" s="9" t="n">
        <v>32</v>
      </c>
      <c r="C35" s="10" t="inlineStr">
        <is>
          <t>P1 최우선</t>
        </is>
      </c>
      <c r="D35" s="11" t="inlineStr">
        <is>
          <t>도장</t>
        </is>
      </c>
      <c r="E35" s="12" t="inlineStr">
        <is>
          <t>프라이머 도포</t>
        </is>
      </c>
      <c r="F35" s="13" t="inlineStr">
        <is>
          <t>㎡</t>
        </is>
      </c>
      <c r="G35" s="14" t="n"/>
      <c r="H35" s="14" t="n"/>
      <c r="I35" s="14" t="n"/>
      <c r="J35" s="14" t="n"/>
      <c r="K35" s="14" t="n"/>
      <c r="L35" s="15">
        <f>IFERROR(G35+H35+I35+J35,"미입력")</f>
        <v/>
      </c>
      <c r="M35" s="14" t="n"/>
      <c r="N35" s="14" t="n"/>
    </row>
    <row r="36" ht="22" customHeight="1">
      <c r="B36" s="9" t="n">
        <v>33</v>
      </c>
      <c r="C36" s="10" t="inlineStr">
        <is>
          <t>P1 최우선</t>
        </is>
      </c>
      <c r="D36" s="11" t="inlineStr">
        <is>
          <t>도장</t>
        </is>
      </c>
      <c r="E36" s="12" t="inlineStr">
        <is>
          <t>수성페인트 내부 2회</t>
        </is>
      </c>
      <c r="F36" s="13" t="inlineStr">
        <is>
          <t>㎡</t>
        </is>
      </c>
      <c r="G36" s="14" t="n"/>
      <c r="H36" s="14" t="n"/>
      <c r="I36" s="14" t="n"/>
      <c r="J36" s="14" t="n"/>
      <c r="K36" s="14" t="n"/>
      <c r="L36" s="15">
        <f>IFERROR(G36+H36+I36+J36,"미입력")</f>
        <v/>
      </c>
      <c r="M36" s="14" t="n"/>
      <c r="N36" s="14" t="n"/>
    </row>
    <row r="37" ht="22" customHeight="1">
      <c r="B37" s="9" t="n">
        <v>34</v>
      </c>
      <c r="C37" s="10" t="inlineStr">
        <is>
          <t>P1 최우선</t>
        </is>
      </c>
      <c r="D37" s="11" t="inlineStr">
        <is>
          <t>도배</t>
        </is>
      </c>
      <c r="E37" s="12" t="inlineStr">
        <is>
          <t>초배 (부직포)</t>
        </is>
      </c>
      <c r="F37" s="13" t="inlineStr">
        <is>
          <t>㎡</t>
        </is>
      </c>
      <c r="G37" s="14" t="n"/>
      <c r="H37" s="14" t="n"/>
      <c r="I37" s="14" t="n"/>
      <c r="J37" s="14" t="n"/>
      <c r="K37" s="14" t="n"/>
      <c r="L37" s="15">
        <f>IFERROR(G37+H37+I37+J37,"미입력")</f>
        <v/>
      </c>
      <c r="M37" s="14" t="n"/>
      <c r="N37" s="14" t="n"/>
    </row>
    <row r="38" ht="22" customHeight="1">
      <c r="B38" s="9" t="n">
        <v>35</v>
      </c>
      <c r="C38" s="10" t="inlineStr">
        <is>
          <t>P1 최우선</t>
        </is>
      </c>
      <c r="D38" s="11" t="inlineStr">
        <is>
          <t>도배</t>
        </is>
      </c>
      <c r="E38" s="12" t="inlineStr">
        <is>
          <t>합지 도배</t>
        </is>
      </c>
      <c r="F38" s="13" t="inlineStr">
        <is>
          <t>㎡</t>
        </is>
      </c>
      <c r="G38" s="14" t="n"/>
      <c r="H38" s="14" t="n"/>
      <c r="I38" s="14" t="n"/>
      <c r="J38" s="14" t="n"/>
      <c r="K38" s="14" t="n"/>
      <c r="L38" s="15">
        <f>IFERROR(G38+H38+I38+J38,"미입력")</f>
        <v/>
      </c>
      <c r="M38" s="14" t="n"/>
      <c r="N38" s="14" t="n"/>
    </row>
    <row r="39" ht="22" customHeight="1">
      <c r="B39" s="9" t="n">
        <v>36</v>
      </c>
      <c r="C39" s="10" t="inlineStr">
        <is>
          <t>P1 최우선</t>
        </is>
      </c>
      <c r="D39" s="11" t="inlineStr">
        <is>
          <t>도배</t>
        </is>
      </c>
      <c r="E39" s="12" t="inlineStr">
        <is>
          <t>실크 도배</t>
        </is>
      </c>
      <c r="F39" s="13" t="inlineStr">
        <is>
          <t>㎡</t>
        </is>
      </c>
      <c r="G39" s="14" t="n"/>
      <c r="H39" s="14" t="n"/>
      <c r="I39" s="14" t="n"/>
      <c r="J39" s="14" t="n"/>
      <c r="K39" s="14" t="n"/>
      <c r="L39" s="15">
        <f>IFERROR(G39+H39+I39+J39,"미입력")</f>
        <v/>
      </c>
      <c r="M39" s="14" t="n"/>
      <c r="N39" s="14" t="n"/>
    </row>
    <row r="40" ht="22" customHeight="1">
      <c r="B40" s="9" t="n">
        <v>37</v>
      </c>
      <c r="C40" s="10" t="inlineStr">
        <is>
          <t>P1 최우선</t>
        </is>
      </c>
      <c r="D40" s="11" t="inlineStr">
        <is>
          <t>바닥재</t>
        </is>
      </c>
      <c r="E40" s="12" t="inlineStr">
        <is>
          <t>강마루 시공 (HB급)</t>
        </is>
      </c>
      <c r="F40" s="13" t="inlineStr">
        <is>
          <t>㎡</t>
        </is>
      </c>
      <c r="G40" s="14" t="n"/>
      <c r="H40" s="14" t="n"/>
      <c r="I40" s="14" t="n"/>
      <c r="J40" s="14" t="n"/>
      <c r="K40" s="14" t="n"/>
      <c r="L40" s="15">
        <f>IFERROR(G40+H40+I40+J40,"미입력")</f>
        <v/>
      </c>
      <c r="M40" s="14" t="n"/>
      <c r="N40" s="14" t="n"/>
    </row>
    <row r="41" ht="22" customHeight="1">
      <c r="B41" s="9" t="n">
        <v>38</v>
      </c>
      <c r="C41" s="10" t="inlineStr">
        <is>
          <t>P1 최우선</t>
        </is>
      </c>
      <c r="D41" s="11" t="inlineStr">
        <is>
          <t>바닥재</t>
        </is>
      </c>
      <c r="E41" s="12" t="inlineStr">
        <is>
          <t>LVT 시공</t>
        </is>
      </c>
      <c r="F41" s="13" t="inlineStr">
        <is>
          <t>㎡</t>
        </is>
      </c>
      <c r="G41" s="14" t="n"/>
      <c r="H41" s="14" t="n"/>
      <c r="I41" s="14" t="n"/>
      <c r="J41" s="14" t="n"/>
      <c r="K41" s="14" t="n"/>
      <c r="L41" s="15">
        <f>IFERROR(G41+H41+I41+J41,"미입력")</f>
        <v/>
      </c>
      <c r="M41" s="14" t="n"/>
      <c r="N41" s="14" t="n"/>
    </row>
    <row r="42" ht="22" customHeight="1">
      <c r="B42" s="9" t="n">
        <v>39</v>
      </c>
      <c r="C42" s="10" t="inlineStr">
        <is>
          <t>P1 최우선</t>
        </is>
      </c>
      <c r="D42" s="11" t="inlineStr">
        <is>
          <t>바닥재</t>
        </is>
      </c>
      <c r="E42" s="12" t="inlineStr">
        <is>
          <t>장판 시공</t>
        </is>
      </c>
      <c r="F42" s="13" t="inlineStr">
        <is>
          <t>㎡</t>
        </is>
      </c>
      <c r="G42" s="14" t="n"/>
      <c r="H42" s="14" t="n"/>
      <c r="I42" s="14" t="n"/>
      <c r="J42" s="14" t="n"/>
      <c r="K42" s="14" t="n"/>
      <c r="L42" s="15">
        <f>IFERROR(G42+H42+I42+J42,"미입력")</f>
        <v/>
      </c>
      <c r="M42" s="14" t="n"/>
      <c r="N42" s="14" t="n"/>
    </row>
    <row r="43" ht="22" customHeight="1">
      <c r="B43" s="16" t="n">
        <v>40</v>
      </c>
      <c r="C43" s="17" t="inlineStr">
        <is>
          <t>P2 중요</t>
        </is>
      </c>
      <c r="D43" s="18" t="inlineStr">
        <is>
          <t>바닥재</t>
        </is>
      </c>
      <c r="E43" s="19" t="inlineStr">
        <is>
          <t>원목마루 시공</t>
        </is>
      </c>
      <c r="F43" s="20" t="inlineStr">
        <is>
          <t>㎡</t>
        </is>
      </c>
      <c r="G43" s="14" t="n"/>
      <c r="H43" s="14" t="n"/>
      <c r="I43" s="14" t="n"/>
      <c r="J43" s="14" t="n"/>
      <c r="K43" s="14" t="n"/>
      <c r="L43" s="15">
        <f>IFERROR(G43+H43+I43+J43,"미입력")</f>
        <v/>
      </c>
      <c r="M43" s="14" t="n"/>
      <c r="N43" s="14" t="n"/>
    </row>
    <row r="44" ht="22" customHeight="1">
      <c r="B44" s="9" t="n">
        <v>41</v>
      </c>
      <c r="C44" s="10" t="inlineStr">
        <is>
          <t>P1 최우선</t>
        </is>
      </c>
      <c r="D44" s="11" t="inlineStr">
        <is>
          <t>몰딩·수장</t>
        </is>
      </c>
      <c r="E44" s="12" t="inlineStr">
        <is>
          <t>걸레받이 몰딩</t>
        </is>
      </c>
      <c r="F44" s="13" t="inlineStr">
        <is>
          <t>m</t>
        </is>
      </c>
      <c r="G44" s="14" t="n"/>
      <c r="H44" s="14" t="n"/>
      <c r="I44" s="14" t="n"/>
      <c r="J44" s="14" t="n"/>
      <c r="K44" s="14" t="n"/>
      <c r="L44" s="15">
        <f>IFERROR(G44+H44+I44+J44,"미입력")</f>
        <v/>
      </c>
      <c r="M44" s="14" t="n"/>
      <c r="N44" s="14" t="n"/>
    </row>
    <row r="45" ht="22" customHeight="1">
      <c r="B45" s="9" t="n">
        <v>42</v>
      </c>
      <c r="C45" s="10" t="inlineStr">
        <is>
          <t>P1 최우선</t>
        </is>
      </c>
      <c r="D45" s="11" t="inlineStr">
        <is>
          <t>몰딩·수장</t>
        </is>
      </c>
      <c r="E45" s="12" t="inlineStr">
        <is>
          <t>천장 몰딩</t>
        </is>
      </c>
      <c r="F45" s="13" t="inlineStr">
        <is>
          <t>m</t>
        </is>
      </c>
      <c r="G45" s="14" t="n"/>
      <c r="H45" s="14" t="n"/>
      <c r="I45" s="14" t="n"/>
      <c r="J45" s="14" t="n"/>
      <c r="K45" s="14" t="n"/>
      <c r="L45" s="15">
        <f>IFERROR(G45+H45+I45+J45,"미입력")</f>
        <v/>
      </c>
      <c r="M45" s="14" t="n"/>
      <c r="N45" s="14" t="n"/>
    </row>
    <row r="46" ht="22" customHeight="1">
      <c r="B46" s="9" t="n">
        <v>43</v>
      </c>
      <c r="C46" s="10" t="inlineStr">
        <is>
          <t>P1 최우선</t>
        </is>
      </c>
      <c r="D46" s="11" t="inlineStr">
        <is>
          <t>설비</t>
        </is>
      </c>
      <c r="E46" s="12" t="inlineStr">
        <is>
          <t>급수 배관 (냉·온수)</t>
        </is>
      </c>
      <c r="F46" s="13" t="inlineStr">
        <is>
          <t>m</t>
        </is>
      </c>
      <c r="G46" s="14" t="n"/>
      <c r="H46" s="14" t="n"/>
      <c r="I46" s="14" t="n"/>
      <c r="J46" s="14" t="n"/>
      <c r="K46" s="14" t="n"/>
      <c r="L46" s="15">
        <f>IFERROR(G46+H46+I46+J46,"미입력")</f>
        <v/>
      </c>
      <c r="M46" s="14" t="n"/>
      <c r="N46" s="14" t="n"/>
    </row>
    <row r="47" ht="22" customHeight="1">
      <c r="B47" s="9" t="n">
        <v>44</v>
      </c>
      <c r="C47" s="10" t="inlineStr">
        <is>
          <t>P1 최우선</t>
        </is>
      </c>
      <c r="D47" s="11" t="inlineStr">
        <is>
          <t>설비</t>
        </is>
      </c>
      <c r="E47" s="12" t="inlineStr">
        <is>
          <t>배수 배관 (PVC)</t>
        </is>
      </c>
      <c r="F47" s="13" t="inlineStr">
        <is>
          <t>m</t>
        </is>
      </c>
      <c r="G47" s="14" t="n"/>
      <c r="H47" s="14" t="n"/>
      <c r="I47" s="14" t="n"/>
      <c r="J47" s="14" t="n"/>
      <c r="K47" s="14" t="n"/>
      <c r="L47" s="15">
        <f>IFERROR(G47+H47+I47+J47,"미입력")</f>
        <v/>
      </c>
      <c r="M47" s="14" t="n"/>
      <c r="N47" s="14" t="n"/>
    </row>
    <row r="48" ht="22" customHeight="1">
      <c r="B48" s="9" t="n">
        <v>45</v>
      </c>
      <c r="C48" s="10" t="inlineStr">
        <is>
          <t>P1 최우선</t>
        </is>
      </c>
      <c r="D48" s="11" t="inlineStr">
        <is>
          <t>설비</t>
        </is>
      </c>
      <c r="E48" s="12" t="inlineStr">
        <is>
          <t>보일러 교체</t>
        </is>
      </c>
      <c r="F48" s="13" t="inlineStr">
        <is>
          <t>EA</t>
        </is>
      </c>
      <c r="G48" s="14" t="n"/>
      <c r="H48" s="14" t="n"/>
      <c r="I48" s="14" t="n"/>
      <c r="J48" s="14" t="n"/>
      <c r="K48" s="14" t="n"/>
      <c r="L48" s="15">
        <f>IFERROR(G48+H48+I48+J48,"미입력")</f>
        <v/>
      </c>
      <c r="M48" s="14" t="n"/>
      <c r="N48" s="14" t="n"/>
    </row>
    <row r="49" ht="22" customHeight="1">
      <c r="B49" s="9" t="n">
        <v>46</v>
      </c>
      <c r="C49" s="10" t="inlineStr">
        <is>
          <t>P1 최우선</t>
        </is>
      </c>
      <c r="D49" s="11" t="inlineStr">
        <is>
          <t>설비</t>
        </is>
      </c>
      <c r="E49" s="12" t="inlineStr">
        <is>
          <t>바닥 난방 배관 (분배기 포함)</t>
        </is>
      </c>
      <c r="F49" s="13" t="inlineStr">
        <is>
          <t>㎡</t>
        </is>
      </c>
      <c r="G49" s="14" t="n"/>
      <c r="H49" s="14" t="n"/>
      <c r="I49" s="14" t="n"/>
      <c r="J49" s="14" t="n"/>
      <c r="K49" s="14" t="n"/>
      <c r="L49" s="15">
        <f>IFERROR(G49+H49+I49+J49,"미입력")</f>
        <v/>
      </c>
      <c r="M49" s="14" t="n"/>
      <c r="N49" s="14" t="n"/>
    </row>
    <row r="50" ht="22" customHeight="1">
      <c r="B50" s="9" t="n">
        <v>47</v>
      </c>
      <c r="C50" s="10" t="inlineStr">
        <is>
          <t>P1 최우선</t>
        </is>
      </c>
      <c r="D50" s="11" t="inlineStr">
        <is>
          <t>설비</t>
        </is>
      </c>
      <c r="E50" s="12" t="inlineStr">
        <is>
          <t>위생도기 설치 (변기)</t>
        </is>
      </c>
      <c r="F50" s="13" t="inlineStr">
        <is>
          <t>EA</t>
        </is>
      </c>
      <c r="G50" s="14" t="n"/>
      <c r="H50" s="14" t="n"/>
      <c r="I50" s="14" t="n"/>
      <c r="J50" s="14" t="n"/>
      <c r="K50" s="14" t="n"/>
      <c r="L50" s="15">
        <f>IFERROR(G50+H50+I50+J50,"미입력")</f>
        <v/>
      </c>
      <c r="M50" s="14" t="n"/>
      <c r="N50" s="14" t="n"/>
    </row>
    <row r="51" ht="22" customHeight="1">
      <c r="B51" s="9" t="n">
        <v>48</v>
      </c>
      <c r="C51" s="10" t="inlineStr">
        <is>
          <t>P1 최우선</t>
        </is>
      </c>
      <c r="D51" s="11" t="inlineStr">
        <is>
          <t>설비</t>
        </is>
      </c>
      <c r="E51" s="12" t="inlineStr">
        <is>
          <t>위생도기 설치 (세면기)</t>
        </is>
      </c>
      <c r="F51" s="13" t="inlineStr">
        <is>
          <t>EA</t>
        </is>
      </c>
      <c r="G51" s="14" t="n"/>
      <c r="H51" s="14" t="n"/>
      <c r="I51" s="14" t="n"/>
      <c r="J51" s="14" t="n"/>
      <c r="K51" s="14" t="n"/>
      <c r="L51" s="15">
        <f>IFERROR(G51+H51+I51+J51,"미입력")</f>
        <v/>
      </c>
      <c r="M51" s="14" t="n"/>
      <c r="N51" s="14" t="n"/>
    </row>
    <row r="52" ht="22" customHeight="1">
      <c r="B52" s="9" t="n">
        <v>49</v>
      </c>
      <c r="C52" s="10" t="inlineStr">
        <is>
          <t>P1 최우선</t>
        </is>
      </c>
      <c r="D52" s="11" t="inlineStr">
        <is>
          <t>설비</t>
        </is>
      </c>
      <c r="E52" s="12" t="inlineStr">
        <is>
          <t>수전 설치 (세면기)</t>
        </is>
      </c>
      <c r="F52" s="13" t="inlineStr">
        <is>
          <t>EA</t>
        </is>
      </c>
      <c r="G52" s="14" t="n"/>
      <c r="H52" s="14" t="n"/>
      <c r="I52" s="14" t="n"/>
      <c r="J52" s="14" t="n"/>
      <c r="K52" s="14" t="n"/>
      <c r="L52" s="15">
        <f>IFERROR(G52+H52+I52+J52,"미입력")</f>
        <v/>
      </c>
      <c r="M52" s="14" t="n"/>
      <c r="N52" s="14" t="n"/>
    </row>
    <row r="53" ht="22" customHeight="1">
      <c r="B53" s="9" t="n">
        <v>50</v>
      </c>
      <c r="C53" s="10" t="inlineStr">
        <is>
          <t>P1 최우선</t>
        </is>
      </c>
      <c r="D53" s="11" t="inlineStr">
        <is>
          <t>설비</t>
        </is>
      </c>
      <c r="E53" s="12" t="inlineStr">
        <is>
          <t>수전 설치 (주방)</t>
        </is>
      </c>
      <c r="F53" s="13" t="inlineStr">
        <is>
          <t>EA</t>
        </is>
      </c>
      <c r="G53" s="14" t="n"/>
      <c r="H53" s="14" t="n"/>
      <c r="I53" s="14" t="n"/>
      <c r="J53" s="14" t="n"/>
      <c r="K53" s="14" t="n"/>
      <c r="L53" s="15">
        <f>IFERROR(G53+H53+I53+J53,"미입력")</f>
        <v/>
      </c>
      <c r="M53" s="14" t="n"/>
      <c r="N53" s="14" t="n"/>
    </row>
    <row r="54" ht="22" customHeight="1">
      <c r="B54" s="9" t="n">
        <v>51</v>
      </c>
      <c r="C54" s="10" t="inlineStr">
        <is>
          <t>P1 최우선</t>
        </is>
      </c>
      <c r="D54" s="11" t="inlineStr">
        <is>
          <t>전기</t>
        </is>
      </c>
      <c r="E54" s="12" t="inlineStr">
        <is>
          <t>전기 배선 (CD관+전선)</t>
        </is>
      </c>
      <c r="F54" s="13" t="inlineStr">
        <is>
          <t>m</t>
        </is>
      </c>
      <c r="G54" s="14" t="n"/>
      <c r="H54" s="14" t="n"/>
      <c r="I54" s="14" t="n"/>
      <c r="J54" s="14" t="n"/>
      <c r="K54" s="14" t="n"/>
      <c r="L54" s="15">
        <f>IFERROR(G54+H54+I54+J54,"미입력")</f>
        <v/>
      </c>
      <c r="M54" s="14" t="n"/>
      <c r="N54" s="14" t="n"/>
    </row>
    <row r="55" ht="22" customHeight="1">
      <c r="B55" s="9" t="n">
        <v>52</v>
      </c>
      <c r="C55" s="10" t="inlineStr">
        <is>
          <t>P1 최우선</t>
        </is>
      </c>
      <c r="D55" s="11" t="inlineStr">
        <is>
          <t>전기</t>
        </is>
      </c>
      <c r="E55" s="12" t="inlineStr">
        <is>
          <t>분전반 교체</t>
        </is>
      </c>
      <c r="F55" s="13" t="inlineStr">
        <is>
          <t>EA</t>
        </is>
      </c>
      <c r="G55" s="14" t="n"/>
      <c r="H55" s="14" t="n"/>
      <c r="I55" s="14" t="n"/>
      <c r="J55" s="14" t="n"/>
      <c r="K55" s="14" t="n"/>
      <c r="L55" s="15">
        <f>IFERROR(G55+H55+I55+J55,"미입력")</f>
        <v/>
      </c>
      <c r="M55" s="14" t="n"/>
      <c r="N55" s="14" t="n"/>
    </row>
    <row r="56" ht="22" customHeight="1">
      <c r="B56" s="9" t="n">
        <v>53</v>
      </c>
      <c r="C56" s="10" t="inlineStr">
        <is>
          <t>P1 최우선</t>
        </is>
      </c>
      <c r="D56" s="11" t="inlineStr">
        <is>
          <t>전기</t>
        </is>
      </c>
      <c r="E56" s="12" t="inlineStr">
        <is>
          <t>콘센트 설치</t>
        </is>
      </c>
      <c r="F56" s="13" t="inlineStr">
        <is>
          <t>EA</t>
        </is>
      </c>
      <c r="G56" s="14" t="n"/>
      <c r="H56" s="14" t="n"/>
      <c r="I56" s="14" t="n"/>
      <c r="J56" s="14" t="n"/>
      <c r="K56" s="14" t="n"/>
      <c r="L56" s="15">
        <f>IFERROR(G56+H56+I56+J56,"미입력")</f>
        <v/>
      </c>
      <c r="M56" s="14" t="n"/>
      <c r="N56" s="14" t="n"/>
    </row>
    <row r="57" ht="22" customHeight="1">
      <c r="B57" s="9" t="n">
        <v>54</v>
      </c>
      <c r="C57" s="10" t="inlineStr">
        <is>
          <t>P1 최우선</t>
        </is>
      </c>
      <c r="D57" s="11" t="inlineStr">
        <is>
          <t>전기</t>
        </is>
      </c>
      <c r="E57" s="12" t="inlineStr">
        <is>
          <t>스위치 설치</t>
        </is>
      </c>
      <c r="F57" s="13" t="inlineStr">
        <is>
          <t>EA</t>
        </is>
      </c>
      <c r="G57" s="14" t="n"/>
      <c r="H57" s="14" t="n"/>
      <c r="I57" s="14" t="n"/>
      <c r="J57" s="14" t="n"/>
      <c r="K57" s="14" t="n"/>
      <c r="L57" s="15">
        <f>IFERROR(G57+H57+I57+J57,"미입력")</f>
        <v/>
      </c>
      <c r="M57" s="14" t="n"/>
      <c r="N57" s="14" t="n"/>
    </row>
    <row r="58" ht="22" customHeight="1">
      <c r="B58" s="9" t="n">
        <v>55</v>
      </c>
      <c r="C58" s="10" t="inlineStr">
        <is>
          <t>P1 최우선</t>
        </is>
      </c>
      <c r="D58" s="11" t="inlineStr">
        <is>
          <t>전기</t>
        </is>
      </c>
      <c r="E58" s="12" t="inlineStr">
        <is>
          <t>LED 다운라이트 설치</t>
        </is>
      </c>
      <c r="F58" s="13" t="inlineStr">
        <is>
          <t>EA</t>
        </is>
      </c>
      <c r="G58" s="14" t="n"/>
      <c r="H58" s="14" t="n"/>
      <c r="I58" s="14" t="n"/>
      <c r="J58" s="14" t="n"/>
      <c r="K58" s="14" t="n"/>
      <c r="L58" s="15">
        <f>IFERROR(G58+H58+I58+J58,"미입력")</f>
        <v/>
      </c>
      <c r="M58" s="14" t="n"/>
      <c r="N58" s="14" t="n"/>
    </row>
    <row r="59" ht="22" customHeight="1">
      <c r="B59" s="9" t="n">
        <v>56</v>
      </c>
      <c r="C59" s="10" t="inlineStr">
        <is>
          <t>P1 최우선</t>
        </is>
      </c>
      <c r="D59" s="11" t="inlineStr">
        <is>
          <t>전기</t>
        </is>
      </c>
      <c r="E59" s="12" t="inlineStr">
        <is>
          <t>간접등 LED바 설치</t>
        </is>
      </c>
      <c r="F59" s="13" t="inlineStr">
        <is>
          <t>m</t>
        </is>
      </c>
      <c r="G59" s="14" t="n"/>
      <c r="H59" s="14" t="n"/>
      <c r="I59" s="14" t="n"/>
      <c r="J59" s="14" t="n"/>
      <c r="K59" s="14" t="n"/>
      <c r="L59" s="15">
        <f>IFERROR(G59+H59+I59+J59,"미입력")</f>
        <v/>
      </c>
      <c r="M59" s="14" t="n"/>
      <c r="N59" s="14" t="n"/>
    </row>
    <row r="60" ht="22" customHeight="1">
      <c r="B60" s="9" t="n">
        <v>57</v>
      </c>
      <c r="C60" s="10" t="inlineStr">
        <is>
          <t>P1 최우선</t>
        </is>
      </c>
      <c r="D60" s="11" t="inlineStr">
        <is>
          <t>가구</t>
        </is>
      </c>
      <c r="E60" s="12" t="inlineStr">
        <is>
          <t>주방 시스템키친 설치</t>
        </is>
      </c>
      <c r="F60" s="13" t="inlineStr">
        <is>
          <t>식</t>
        </is>
      </c>
      <c r="G60" s="14" t="n"/>
      <c r="H60" s="14" t="n"/>
      <c r="I60" s="14" t="n"/>
      <c r="J60" s="14" t="n"/>
      <c r="K60" s="14" t="n"/>
      <c r="L60" s="15">
        <f>IFERROR(G60+H60+I60+J60,"미입력")</f>
        <v/>
      </c>
      <c r="M60" s="14" t="n"/>
      <c r="N60" s="14" t="n"/>
    </row>
    <row r="61" ht="22" customHeight="1">
      <c r="B61" s="9" t="n">
        <v>58</v>
      </c>
      <c r="C61" s="10" t="inlineStr">
        <is>
          <t>P1 최우선</t>
        </is>
      </c>
      <c r="D61" s="11" t="inlineStr">
        <is>
          <t>가구</t>
        </is>
      </c>
      <c r="E61" s="12" t="inlineStr">
        <is>
          <t>주방 상판 교체 (인조대리석)</t>
        </is>
      </c>
      <c r="F61" s="13" t="inlineStr">
        <is>
          <t>m</t>
        </is>
      </c>
      <c r="G61" s="14" t="n"/>
      <c r="H61" s="14" t="n"/>
      <c r="I61" s="14" t="n"/>
      <c r="J61" s="14" t="n"/>
      <c r="K61" s="14" t="n"/>
      <c r="L61" s="15">
        <f>IFERROR(G61+H61+I61+J61,"미입력")</f>
        <v/>
      </c>
      <c r="M61" s="14" t="n"/>
      <c r="N61" s="14" t="n"/>
    </row>
    <row r="62" ht="22" customHeight="1">
      <c r="B62" s="9" t="n">
        <v>59</v>
      </c>
      <c r="C62" s="10" t="inlineStr">
        <is>
          <t>P1 최우선</t>
        </is>
      </c>
      <c r="D62" s="11" t="inlineStr">
        <is>
          <t>가구</t>
        </is>
      </c>
      <c r="E62" s="12" t="inlineStr">
        <is>
          <t>침실 붙박이장 설치</t>
        </is>
      </c>
      <c r="F62" s="13" t="inlineStr">
        <is>
          <t>㎡</t>
        </is>
      </c>
      <c r="G62" s="14" t="n"/>
      <c r="H62" s="14" t="n"/>
      <c r="I62" s="14" t="n"/>
      <c r="J62" s="14" t="n"/>
      <c r="K62" s="14" t="n"/>
      <c r="L62" s="15">
        <f>IFERROR(G62+H62+I62+J62,"미입력")</f>
        <v/>
      </c>
      <c r="M62" s="14" t="n"/>
      <c r="N62" s="14" t="n"/>
    </row>
    <row r="63" ht="22" customHeight="1">
      <c r="B63" s="9" t="n">
        <v>60</v>
      </c>
      <c r="C63" s="10" t="inlineStr">
        <is>
          <t>P1 최우선</t>
        </is>
      </c>
      <c r="D63" s="11" t="inlineStr">
        <is>
          <t>가구</t>
        </is>
      </c>
      <c r="E63" s="12" t="inlineStr">
        <is>
          <t>드레스룸 시스템</t>
        </is>
      </c>
      <c r="F63" s="13" t="inlineStr">
        <is>
          <t>㎡</t>
        </is>
      </c>
      <c r="G63" s="14" t="n"/>
      <c r="H63" s="14" t="n"/>
      <c r="I63" s="14" t="n"/>
      <c r="J63" s="14" t="n"/>
      <c r="K63" s="14" t="n"/>
      <c r="L63" s="15">
        <f>IFERROR(G63+H63+I63+J63,"미입력")</f>
        <v/>
      </c>
      <c r="M63" s="14" t="n"/>
      <c r="N63" s="14" t="n"/>
    </row>
    <row r="64" ht="22" customHeight="1">
      <c r="B64" s="9" t="n">
        <v>61</v>
      </c>
      <c r="C64" s="10" t="inlineStr">
        <is>
          <t>P1 최우선</t>
        </is>
      </c>
      <c r="D64" s="11" t="inlineStr">
        <is>
          <t>욕실</t>
        </is>
      </c>
      <c r="E64" s="12" t="inlineStr">
        <is>
          <t>욕실 전체 리모델링 (패키지)</t>
        </is>
      </c>
      <c r="F64" s="13" t="inlineStr">
        <is>
          <t>식</t>
        </is>
      </c>
      <c r="G64" s="14" t="n"/>
      <c r="H64" s="14" t="n"/>
      <c r="I64" s="14" t="n"/>
      <c r="J64" s="14" t="n"/>
      <c r="K64" s="14" t="n"/>
      <c r="L64" s="15">
        <f>IFERROR(G64+H64+I64+J64,"미입력")</f>
        <v/>
      </c>
      <c r="M64" s="14" t="n"/>
      <c r="N64" s="14" t="n"/>
    </row>
    <row r="65" ht="22" customHeight="1">
      <c r="B65" s="9" t="n">
        <v>62</v>
      </c>
      <c r="C65" s="10" t="inlineStr">
        <is>
          <t>P1 최우선</t>
        </is>
      </c>
      <c r="D65" s="11" t="inlineStr">
        <is>
          <t>욕실</t>
        </is>
      </c>
      <c r="E65" s="12" t="inlineStr">
        <is>
          <t>욕실 천장 (알루미늄 루버)</t>
        </is>
      </c>
      <c r="F65" s="13" t="inlineStr">
        <is>
          <t>㎡</t>
        </is>
      </c>
      <c r="G65" s="14" t="n"/>
      <c r="H65" s="14" t="n"/>
      <c r="I65" s="14" t="n"/>
      <c r="J65" s="14" t="n"/>
      <c r="K65" s="14" t="n"/>
      <c r="L65" s="15">
        <f>IFERROR(G65+H65+I65+J65,"미입력")</f>
        <v/>
      </c>
      <c r="M65" s="14" t="n"/>
      <c r="N65" s="14" t="n"/>
    </row>
    <row r="66" ht="22" customHeight="1">
      <c r="B66" s="9" t="n">
        <v>63</v>
      </c>
      <c r="C66" s="10" t="inlineStr">
        <is>
          <t>P1 최우선</t>
        </is>
      </c>
      <c r="D66" s="11" t="inlineStr">
        <is>
          <t>욕실</t>
        </is>
      </c>
      <c r="E66" s="12" t="inlineStr">
        <is>
          <t>욕실 환풍기 설치</t>
        </is>
      </c>
      <c r="F66" s="13" t="inlineStr">
        <is>
          <t>EA</t>
        </is>
      </c>
      <c r="G66" s="14" t="n"/>
      <c r="H66" s="14" t="n"/>
      <c r="I66" s="14" t="n"/>
      <c r="J66" s="14" t="n"/>
      <c r="K66" s="14" t="n"/>
      <c r="L66" s="15">
        <f>IFERROR(G66+H66+I66+J66,"미입력")</f>
        <v/>
      </c>
      <c r="M66" s="14" t="n"/>
      <c r="N66" s="14" t="n"/>
    </row>
    <row r="67" ht="22" customHeight="1">
      <c r="B67" s="9" t="n">
        <v>64</v>
      </c>
      <c r="C67" s="10" t="inlineStr">
        <is>
          <t>P1 최우선</t>
        </is>
      </c>
      <c r="D67" s="11" t="inlineStr">
        <is>
          <t>냉난방</t>
        </is>
      </c>
      <c r="E67" s="12" t="inlineStr">
        <is>
          <t>벽걸이 에어컨 설치</t>
        </is>
      </c>
      <c r="F67" s="13" t="inlineStr">
        <is>
          <t>EA</t>
        </is>
      </c>
      <c r="G67" s="14" t="n"/>
      <c r="H67" s="14" t="n"/>
      <c r="I67" s="14" t="n"/>
      <c r="J67" s="14" t="n"/>
      <c r="K67" s="14" t="n"/>
      <c r="L67" s="15">
        <f>IFERROR(G67+H67+I67+J67,"미입력")</f>
        <v/>
      </c>
      <c r="M67" s="14" t="n"/>
      <c r="N67" s="14" t="n"/>
    </row>
    <row r="68" ht="22" customHeight="1">
      <c r="B68" s="9" t="n">
        <v>65</v>
      </c>
      <c r="C68" s="10" t="inlineStr">
        <is>
          <t>P1 최우선</t>
        </is>
      </c>
      <c r="D68" s="11" t="inlineStr">
        <is>
          <t>냉난방</t>
        </is>
      </c>
      <c r="E68" s="12" t="inlineStr">
        <is>
          <t>시스템 에어컨 (4way)</t>
        </is>
      </c>
      <c r="F68" s="13" t="inlineStr">
        <is>
          <t>EA</t>
        </is>
      </c>
      <c r="G68" s="14" t="n"/>
      <c r="H68" s="14" t="n"/>
      <c r="I68" s="14" t="n"/>
      <c r="J68" s="14" t="n"/>
      <c r="K68" s="14" t="n"/>
      <c r="L68" s="15">
        <f>IFERROR(G68+H68+I68+J68,"미입력")</f>
        <v/>
      </c>
      <c r="M68" s="14" t="n"/>
      <c r="N68" s="14" t="n"/>
    </row>
    <row r="69" ht="22" customHeight="1">
      <c r="B69" s="9" t="n">
        <v>66</v>
      </c>
      <c r="C69" s="10" t="inlineStr">
        <is>
          <t>P1 최우선</t>
        </is>
      </c>
      <c r="D69" s="11" t="inlineStr">
        <is>
          <t>냉난방</t>
        </is>
      </c>
      <c r="E69" s="12" t="inlineStr">
        <is>
          <t>에어컨 냉매관 배관</t>
        </is>
      </c>
      <c r="F69" s="13" t="inlineStr">
        <is>
          <t>m</t>
        </is>
      </c>
      <c r="G69" s="14" t="n"/>
      <c r="H69" s="14" t="n"/>
      <c r="I69" s="14" t="n"/>
      <c r="J69" s="14" t="n"/>
      <c r="K69" s="14" t="n"/>
      <c r="L69" s="15">
        <f>IFERROR(G69+H69+I69+J69,"미입력")</f>
        <v/>
      </c>
      <c r="M69" s="14" t="n"/>
      <c r="N69" s="14" t="n"/>
    </row>
    <row r="70" ht="22" customHeight="1">
      <c r="B70" s="9" t="n">
        <v>67</v>
      </c>
      <c r="C70" s="10" t="inlineStr">
        <is>
          <t>P1 최우선</t>
        </is>
      </c>
      <c r="D70" s="11" t="inlineStr">
        <is>
          <t>준공</t>
        </is>
      </c>
      <c r="E70" s="12" t="inlineStr">
        <is>
          <t>준공청소</t>
        </is>
      </c>
      <c r="F70" s="13" t="inlineStr">
        <is>
          <t>㎡</t>
        </is>
      </c>
      <c r="G70" s="14" t="n"/>
      <c r="H70" s="14" t="n"/>
      <c r="I70" s="14" t="n"/>
      <c r="J70" s="14" t="n"/>
      <c r="K70" s="14" t="n"/>
      <c r="L70" s="15">
        <f>IFERROR(G70+H70+I70+J70,"미입력")</f>
        <v/>
      </c>
      <c r="M70" s="14" t="n"/>
      <c r="N70" s="14" t="n"/>
    </row>
    <row r="71" ht="22" customHeight="1">
      <c r="B71" s="9" t="n">
        <v>68</v>
      </c>
      <c r="C71" s="10" t="inlineStr">
        <is>
          <t>P1 최우선</t>
        </is>
      </c>
      <c r="D71" s="11" t="inlineStr">
        <is>
          <t>하자보수</t>
        </is>
      </c>
      <c r="E71" s="12" t="inlineStr">
        <is>
          <t>실리콘 재처리</t>
        </is>
      </c>
      <c r="F71" s="13" t="inlineStr">
        <is>
          <t>m</t>
        </is>
      </c>
      <c r="G71" s="14" t="n"/>
      <c r="H71" s="14" t="n"/>
      <c r="I71" s="14" t="n"/>
      <c r="J71" s="14" t="n"/>
      <c r="K71" s="14" t="n"/>
      <c r="L71" s="15">
        <f>IFERROR(G71+H71+I71+J71,"미입력")</f>
        <v/>
      </c>
      <c r="M71" s="14" t="n"/>
      <c r="N71" s="14" t="n"/>
    </row>
    <row r="72" ht="22" customHeight="1">
      <c r="B72" s="16" t="n">
        <v>69</v>
      </c>
      <c r="C72" s="17" t="inlineStr">
        <is>
          <t>P2 중요</t>
        </is>
      </c>
      <c r="D72" s="18" t="inlineStr">
        <is>
          <t>하자보수</t>
        </is>
      </c>
      <c r="E72" s="19" t="inlineStr">
        <is>
          <t>타일 재시공 (부분)</t>
        </is>
      </c>
      <c r="F72" s="20" t="inlineStr">
        <is>
          <t>㎡</t>
        </is>
      </c>
      <c r="G72" s="14" t="n"/>
      <c r="H72" s="14" t="n"/>
      <c r="I72" s="14" t="n"/>
      <c r="J72" s="14" t="n"/>
      <c r="K72" s="14" t="n"/>
      <c r="L72" s="15">
        <f>IFERROR(G72+H72+I72+J72,"미입력")</f>
        <v/>
      </c>
      <c r="M72" s="14" t="n"/>
      <c r="N72" s="14" t="n"/>
    </row>
    <row r="73" ht="28" customHeight="1">
      <c r="B73" s="21" t="inlineStr">
        <is>
          <t>입력 완료 공정 수</t>
        </is>
      </c>
      <c r="G73" s="22">
        <f>COUNTIF(G4:G72,"&gt;0")</f>
        <v/>
      </c>
    </row>
  </sheetData>
  <mergeCells count="3">
    <mergeCell ref="B73:F73"/>
    <mergeCell ref="B2:D2"/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30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  <col width="40" customWidth="1" min="11" max="11"/>
  </cols>
  <sheetData>
    <row r="1" ht="35" customHeight="1">
      <c r="B1" s="6" t="inlineStr">
        <is>
          <t>🧱 자재 단가 입력표 — 브랜드·규격·단가 입력</t>
        </is>
      </c>
    </row>
    <row r="3" ht="36" customHeight="1">
      <c r="B3" s="8" t="inlineStr">
        <is>
          <t>No</t>
        </is>
      </c>
      <c r="C3" s="8" t="inlineStr">
        <is>
          <t>분류</t>
        </is>
      </c>
      <c r="D3" s="8" t="inlineStr">
        <is>
          <t>자재명</t>
        </is>
      </c>
      <c r="E3" s="8" t="inlineStr">
        <is>
          <t>규격/사이즈</t>
        </is>
      </c>
      <c r="F3" s="8" t="inlineStr">
        <is>
          <t>단위</t>
        </is>
      </c>
      <c r="G3" s="8" t="inlineStr">
        <is>
          <t>공급단가
(원/단위)</t>
        </is>
      </c>
      <c r="H3" s="8" t="inlineStr">
        <is>
          <t>시장가
(원/단위)</t>
        </is>
      </c>
      <c r="I3" s="8" t="inlineStr">
        <is>
          <t>리드타임
(일)</t>
        </is>
      </c>
      <c r="J3" s="8" t="inlineStr">
        <is>
          <t>손실률
(%)</t>
        </is>
      </c>
      <c r="K3" s="8" t="inlineStr">
        <is>
          <t>출처</t>
        </is>
      </c>
      <c r="L3" s="8" t="inlineStr">
        <is>
          <t>비고</t>
        </is>
      </c>
    </row>
    <row r="4" ht="22" customHeight="1">
      <c r="B4" s="23" t="n">
        <v>1</v>
      </c>
      <c r="C4" s="11" t="inlineStr">
        <is>
          <t>타일</t>
        </is>
      </c>
      <c r="D4" s="24" t="inlineStr">
        <is>
          <t>포세린타일 600×600</t>
        </is>
      </c>
      <c r="E4" s="14" t="inlineStr"/>
      <c r="F4" s="23" t="inlineStr">
        <is>
          <t>㎡</t>
        </is>
      </c>
      <c r="G4" s="14" t="n"/>
      <c r="H4" s="14" t="n"/>
      <c r="I4" s="14" t="n"/>
      <c r="J4" s="14" t="n"/>
      <c r="K4" s="14" t="n"/>
      <c r="L4" s="14" t="n"/>
    </row>
    <row r="5" ht="22" customHeight="1">
      <c r="B5" s="23" t="n">
        <v>2</v>
      </c>
      <c r="C5" s="11" t="inlineStr">
        <is>
          <t>타일</t>
        </is>
      </c>
      <c r="D5" s="24" t="inlineStr">
        <is>
          <t>포세린타일 300×600</t>
        </is>
      </c>
      <c r="E5" s="14" t="inlineStr"/>
      <c r="F5" s="23" t="inlineStr">
        <is>
          <t>㎡</t>
        </is>
      </c>
      <c r="G5" s="14" t="n"/>
      <c r="H5" s="14" t="n"/>
      <c r="I5" s="14" t="n"/>
      <c r="J5" s="14" t="n"/>
      <c r="K5" s="14" t="n"/>
      <c r="L5" s="14" t="n"/>
    </row>
    <row r="6" ht="22" customHeight="1">
      <c r="B6" s="23" t="n">
        <v>3</v>
      </c>
      <c r="C6" s="11" t="inlineStr">
        <is>
          <t>타일</t>
        </is>
      </c>
      <c r="D6" s="24" t="inlineStr">
        <is>
          <t>도기질타일 300×300</t>
        </is>
      </c>
      <c r="E6" s="14" t="inlineStr"/>
      <c r="F6" s="23" t="inlineStr">
        <is>
          <t>㎡</t>
        </is>
      </c>
      <c r="G6" s="14" t="n"/>
      <c r="H6" s="14" t="n"/>
      <c r="I6" s="14" t="n"/>
      <c r="J6" s="14" t="n"/>
      <c r="K6" s="14" t="n"/>
      <c r="L6" s="14" t="n"/>
    </row>
    <row r="7" ht="22" customHeight="1">
      <c r="B7" s="23" t="n">
        <v>4</v>
      </c>
      <c r="C7" s="11" t="inlineStr">
        <is>
          <t>타일</t>
        </is>
      </c>
      <c r="D7" s="24" t="inlineStr">
        <is>
          <t>대형슬랩 1200mm+</t>
        </is>
      </c>
      <c r="E7" s="14" t="inlineStr"/>
      <c r="F7" s="23" t="inlineStr">
        <is>
          <t>㎡</t>
        </is>
      </c>
      <c r="G7" s="14" t="n"/>
      <c r="H7" s="14" t="n"/>
      <c r="I7" s="14" t="n"/>
      <c r="J7" s="14" t="n"/>
      <c r="K7" s="14" t="n"/>
      <c r="L7" s="14" t="n"/>
    </row>
    <row r="8" ht="22" customHeight="1">
      <c r="B8" s="25" t="n">
        <v>5</v>
      </c>
      <c r="C8" s="18" t="inlineStr">
        <is>
          <t>타일</t>
        </is>
      </c>
      <c r="D8" s="18" t="inlineStr">
        <is>
          <t>모자이크타일</t>
        </is>
      </c>
      <c r="E8" s="14" t="inlineStr"/>
      <c r="F8" s="25" t="inlineStr">
        <is>
          <t>㎡</t>
        </is>
      </c>
      <c r="G8" s="14" t="n"/>
      <c r="H8" s="14" t="n"/>
      <c r="I8" s="14" t="n"/>
      <c r="J8" s="14" t="n"/>
      <c r="K8" s="14" t="n"/>
      <c r="L8" s="14" t="n"/>
    </row>
    <row r="9" ht="22" customHeight="1">
      <c r="B9" s="25" t="n">
        <v>6</v>
      </c>
      <c r="C9" s="18" t="inlineStr">
        <is>
          <t>타일</t>
        </is>
      </c>
      <c r="D9" s="18" t="inlineStr">
        <is>
          <t>천연석·대리석</t>
        </is>
      </c>
      <c r="E9" s="14" t="inlineStr"/>
      <c r="F9" s="25" t="inlineStr">
        <is>
          <t>㎡</t>
        </is>
      </c>
      <c r="G9" s="14" t="n"/>
      <c r="H9" s="14" t="n"/>
      <c r="I9" s="14" t="n"/>
      <c r="J9" s="14" t="n"/>
      <c r="K9" s="14" t="n"/>
      <c r="L9" s="14" t="n"/>
    </row>
    <row r="10" ht="22" customHeight="1">
      <c r="B10" s="23" t="n">
        <v>7</v>
      </c>
      <c r="C10" s="11" t="inlineStr">
        <is>
          <t>마루</t>
        </is>
      </c>
      <c r="D10" s="24" t="inlineStr">
        <is>
          <t>강마루 HB급</t>
        </is>
      </c>
      <c r="E10" s="14" t="inlineStr"/>
      <c r="F10" s="23" t="inlineStr">
        <is>
          <t>㎡</t>
        </is>
      </c>
      <c r="G10" s="14" t="n"/>
      <c r="H10" s="14" t="n"/>
      <c r="I10" s="14" t="n"/>
      <c r="J10" s="14" t="n"/>
      <c r="K10" s="14" t="n"/>
      <c r="L10" s="14" t="n"/>
    </row>
    <row r="11" ht="22" customHeight="1">
      <c r="B11" s="23" t="n">
        <v>8</v>
      </c>
      <c r="C11" s="11" t="inlineStr">
        <is>
          <t>마루</t>
        </is>
      </c>
      <c r="D11" s="24" t="inlineStr">
        <is>
          <t>강마루 WB급</t>
        </is>
      </c>
      <c r="E11" s="14" t="inlineStr"/>
      <c r="F11" s="23" t="inlineStr">
        <is>
          <t>㎡</t>
        </is>
      </c>
      <c r="G11" s="14" t="n"/>
      <c r="H11" s="14" t="n"/>
      <c r="I11" s="14" t="n"/>
      <c r="J11" s="14" t="n"/>
      <c r="K11" s="14" t="n"/>
      <c r="L11" s="14" t="n"/>
    </row>
    <row r="12" ht="22" customHeight="1">
      <c r="B12" s="25" t="n">
        <v>9</v>
      </c>
      <c r="C12" s="18" t="inlineStr">
        <is>
          <t>마루</t>
        </is>
      </c>
      <c r="D12" s="18" t="inlineStr">
        <is>
          <t>원목마루</t>
        </is>
      </c>
      <c r="E12" s="14" t="inlineStr"/>
      <c r="F12" s="25" t="inlineStr">
        <is>
          <t>㎡</t>
        </is>
      </c>
      <c r="G12" s="14" t="n"/>
      <c r="H12" s="14" t="n"/>
      <c r="I12" s="14" t="n"/>
      <c r="J12" s="14" t="n"/>
      <c r="K12" s="14" t="n"/>
      <c r="L12" s="14" t="n"/>
    </row>
    <row r="13" ht="22" customHeight="1">
      <c r="B13" s="23" t="n">
        <v>10</v>
      </c>
      <c r="C13" s="11" t="inlineStr">
        <is>
          <t>장판</t>
        </is>
      </c>
      <c r="D13" s="24" t="inlineStr">
        <is>
          <t>PVC장판 2.0mm</t>
        </is>
      </c>
      <c r="E13" s="14" t="inlineStr"/>
      <c r="F13" s="23" t="inlineStr">
        <is>
          <t>㎡</t>
        </is>
      </c>
      <c r="G13" s="14" t="n"/>
      <c r="H13" s="14" t="n"/>
      <c r="I13" s="14" t="n"/>
      <c r="J13" s="14" t="n"/>
      <c r="K13" s="14" t="n"/>
      <c r="L13" s="14" t="n"/>
    </row>
    <row r="14" ht="22" customHeight="1">
      <c r="B14" s="23" t="n">
        <v>11</v>
      </c>
      <c r="C14" s="11" t="inlineStr">
        <is>
          <t>장판</t>
        </is>
      </c>
      <c r="D14" s="24" t="inlineStr">
        <is>
          <t>친환경장판</t>
        </is>
      </c>
      <c r="E14" s="14" t="inlineStr"/>
      <c r="F14" s="23" t="inlineStr">
        <is>
          <t>㎡</t>
        </is>
      </c>
      <c r="G14" s="14" t="n"/>
      <c r="H14" s="14" t="n"/>
      <c r="I14" s="14" t="n"/>
      <c r="J14" s="14" t="n"/>
      <c r="K14" s="14" t="n"/>
      <c r="L14" s="14" t="n"/>
    </row>
    <row r="15" ht="22" customHeight="1">
      <c r="B15" s="23" t="n">
        <v>12</v>
      </c>
      <c r="C15" s="11" t="inlineStr">
        <is>
          <t>데코타일</t>
        </is>
      </c>
      <c r="D15" s="24" t="inlineStr">
        <is>
          <t>LVT 타일</t>
        </is>
      </c>
      <c r="E15" s="14" t="inlineStr"/>
      <c r="F15" s="23" t="inlineStr">
        <is>
          <t>㎡</t>
        </is>
      </c>
      <c r="G15" s="14" t="n"/>
      <c r="H15" s="14" t="n"/>
      <c r="I15" s="14" t="n"/>
      <c r="J15" s="14" t="n"/>
      <c r="K15" s="14" t="n"/>
      <c r="L15" s="14" t="n"/>
    </row>
    <row r="16" ht="22" customHeight="1">
      <c r="B16" s="23" t="n">
        <v>13</v>
      </c>
      <c r="C16" s="11" t="inlineStr">
        <is>
          <t>데코타일</t>
        </is>
      </c>
      <c r="D16" s="24" t="inlineStr">
        <is>
          <t>SPC 타일</t>
        </is>
      </c>
      <c r="E16" s="14" t="inlineStr"/>
      <c r="F16" s="23" t="inlineStr">
        <is>
          <t>㎡</t>
        </is>
      </c>
      <c r="G16" s="14" t="n"/>
      <c r="H16" s="14" t="n"/>
      <c r="I16" s="14" t="n"/>
      <c r="J16" s="14" t="n"/>
      <c r="K16" s="14" t="n"/>
      <c r="L16" s="14" t="n"/>
    </row>
    <row r="17" ht="22" customHeight="1">
      <c r="B17" s="23" t="n">
        <v>14</v>
      </c>
      <c r="C17" s="11" t="inlineStr">
        <is>
          <t>도배지</t>
        </is>
      </c>
      <c r="D17" s="24" t="inlineStr">
        <is>
          <t>합지 도배지</t>
        </is>
      </c>
      <c r="E17" s="14" t="inlineStr"/>
      <c r="F17" s="23" t="inlineStr">
        <is>
          <t>㎡</t>
        </is>
      </c>
      <c r="G17" s="14" t="n"/>
      <c r="H17" s="14" t="n"/>
      <c r="I17" s="14" t="n"/>
      <c r="J17" s="14" t="n"/>
      <c r="K17" s="14" t="n"/>
      <c r="L17" s="14" t="n"/>
    </row>
    <row r="18" ht="22" customHeight="1">
      <c r="B18" s="23" t="n">
        <v>15</v>
      </c>
      <c r="C18" s="11" t="inlineStr">
        <is>
          <t>도배지</t>
        </is>
      </c>
      <c r="D18" s="24" t="inlineStr">
        <is>
          <t>실크 도배지</t>
        </is>
      </c>
      <c r="E18" s="14" t="inlineStr"/>
      <c r="F18" s="23" t="inlineStr">
        <is>
          <t>㎡</t>
        </is>
      </c>
      <c r="G18" s="14" t="n"/>
      <c r="H18" s="14" t="n"/>
      <c r="I18" s="14" t="n"/>
      <c r="J18" s="14" t="n"/>
      <c r="K18" s="14" t="n"/>
      <c r="L18" s="14" t="n"/>
    </row>
    <row r="19" ht="22" customHeight="1">
      <c r="B19" s="23" t="n">
        <v>16</v>
      </c>
      <c r="C19" s="11" t="inlineStr">
        <is>
          <t>도배지</t>
        </is>
      </c>
      <c r="D19" s="24" t="inlineStr">
        <is>
          <t>광폭 실크</t>
        </is>
      </c>
      <c r="E19" s="14" t="inlineStr"/>
      <c r="F19" s="23" t="inlineStr">
        <is>
          <t>㎡</t>
        </is>
      </c>
      <c r="G19" s="14" t="n"/>
      <c r="H19" s="14" t="n"/>
      <c r="I19" s="14" t="n"/>
      <c r="J19" s="14" t="n"/>
      <c r="K19" s="14" t="n"/>
      <c r="L19" s="14" t="n"/>
    </row>
    <row r="20" ht="22" customHeight="1">
      <c r="B20" s="23" t="n">
        <v>17</v>
      </c>
      <c r="C20" s="11" t="inlineStr">
        <is>
          <t>필름</t>
        </is>
      </c>
      <c r="D20" s="24" t="inlineStr">
        <is>
          <t>인테리어 필름 단색</t>
        </is>
      </c>
      <c r="E20" s="14" t="inlineStr"/>
      <c r="F20" s="23" t="inlineStr">
        <is>
          <t>㎡</t>
        </is>
      </c>
      <c r="G20" s="14" t="n"/>
      <c r="H20" s="14" t="n"/>
      <c r="I20" s="14" t="n"/>
      <c r="J20" s="14" t="n"/>
      <c r="K20" s="14" t="n"/>
      <c r="L20" s="14" t="n"/>
    </row>
    <row r="21" ht="22" customHeight="1">
      <c r="B21" s="23" t="n">
        <v>18</v>
      </c>
      <c r="C21" s="11" t="inlineStr">
        <is>
          <t>필름</t>
        </is>
      </c>
      <c r="D21" s="24" t="inlineStr">
        <is>
          <t>인테리어 필름 우드</t>
        </is>
      </c>
      <c r="E21" s="14" t="inlineStr"/>
      <c r="F21" s="23" t="inlineStr">
        <is>
          <t>㎡</t>
        </is>
      </c>
      <c r="G21" s="14" t="n"/>
      <c r="H21" s="14" t="n"/>
      <c r="I21" s="14" t="n"/>
      <c r="J21" s="14" t="n"/>
      <c r="K21" s="14" t="n"/>
      <c r="L21" s="14" t="n"/>
    </row>
    <row r="22" ht="22" customHeight="1">
      <c r="B22" s="23" t="n">
        <v>19</v>
      </c>
      <c r="C22" s="11" t="inlineStr">
        <is>
          <t>도장재</t>
        </is>
      </c>
      <c r="D22" s="24" t="inlineStr">
        <is>
          <t>수성페인트 내부용</t>
        </is>
      </c>
      <c r="E22" s="14" t="inlineStr"/>
      <c r="F22" s="23" t="inlineStr">
        <is>
          <t>L</t>
        </is>
      </c>
      <c r="G22" s="14" t="n"/>
      <c r="H22" s="14" t="n"/>
      <c r="I22" s="14" t="n"/>
      <c r="J22" s="14" t="n"/>
      <c r="K22" s="14" t="n"/>
      <c r="L22" s="14" t="n"/>
    </row>
    <row r="23" ht="22" customHeight="1">
      <c r="B23" s="25" t="n">
        <v>20</v>
      </c>
      <c r="C23" s="18" t="inlineStr">
        <is>
          <t>도장재</t>
        </is>
      </c>
      <c r="D23" s="18" t="inlineStr">
        <is>
          <t>에폭시 도장재</t>
        </is>
      </c>
      <c r="E23" s="14" t="inlineStr"/>
      <c r="F23" s="25" t="inlineStr">
        <is>
          <t>L</t>
        </is>
      </c>
      <c r="G23" s="14" t="n"/>
      <c r="H23" s="14" t="n"/>
      <c r="I23" s="14" t="n"/>
      <c r="J23" s="14" t="n"/>
      <c r="K23" s="14" t="n"/>
      <c r="L23" s="14" t="n"/>
    </row>
    <row r="24" ht="22" customHeight="1">
      <c r="B24" s="23" t="n">
        <v>21</v>
      </c>
      <c r="C24" s="11" t="inlineStr">
        <is>
          <t>석고보드</t>
        </is>
      </c>
      <c r="D24" s="24" t="inlineStr">
        <is>
          <t>일반 석고보드 9.5mm</t>
        </is>
      </c>
      <c r="E24" s="14" t="inlineStr"/>
      <c r="F24" s="23" t="inlineStr">
        <is>
          <t>㎡</t>
        </is>
      </c>
      <c r="G24" s="14" t="n"/>
      <c r="H24" s="14" t="n"/>
      <c r="I24" s="14" t="n"/>
      <c r="J24" s="14" t="n"/>
      <c r="K24" s="14" t="n"/>
      <c r="L24" s="14" t="n"/>
    </row>
    <row r="25" ht="22" customHeight="1">
      <c r="B25" s="23" t="n">
        <v>22</v>
      </c>
      <c r="C25" s="11" t="inlineStr">
        <is>
          <t>석고보드</t>
        </is>
      </c>
      <c r="D25" s="24" t="inlineStr">
        <is>
          <t>방수 석고보드</t>
        </is>
      </c>
      <c r="E25" s="14" t="inlineStr"/>
      <c r="F25" s="23" t="inlineStr">
        <is>
          <t>㎡</t>
        </is>
      </c>
      <c r="G25" s="14" t="n"/>
      <c r="H25" s="14" t="n"/>
      <c r="I25" s="14" t="n"/>
      <c r="J25" s="14" t="n"/>
      <c r="K25" s="14" t="n"/>
      <c r="L25" s="14" t="n"/>
    </row>
    <row r="26" ht="22" customHeight="1">
      <c r="B26" s="23" t="n">
        <v>23</v>
      </c>
      <c r="C26" s="11" t="inlineStr">
        <is>
          <t>합판</t>
        </is>
      </c>
      <c r="D26" s="24" t="inlineStr">
        <is>
          <t>일반 합판 9mm</t>
        </is>
      </c>
      <c r="E26" s="14" t="inlineStr"/>
      <c r="F26" s="23" t="inlineStr">
        <is>
          <t>㎡</t>
        </is>
      </c>
      <c r="G26" s="14" t="n"/>
      <c r="H26" s="14" t="n"/>
      <c r="I26" s="14" t="n"/>
      <c r="J26" s="14" t="n"/>
      <c r="K26" s="14" t="n"/>
      <c r="L26" s="14" t="n"/>
    </row>
    <row r="27" ht="22" customHeight="1">
      <c r="B27" s="23" t="n">
        <v>24</v>
      </c>
      <c r="C27" s="11" t="inlineStr">
        <is>
          <t>합판</t>
        </is>
      </c>
      <c r="D27" s="24" t="inlineStr">
        <is>
          <t>일반 합판 12mm</t>
        </is>
      </c>
      <c r="E27" s="14" t="inlineStr"/>
      <c r="F27" s="23" t="inlineStr">
        <is>
          <t>㎡</t>
        </is>
      </c>
      <c r="G27" s="14" t="n"/>
      <c r="H27" s="14" t="n"/>
      <c r="I27" s="14" t="n"/>
      <c r="J27" s="14" t="n"/>
      <c r="K27" s="14" t="n"/>
      <c r="L27" s="14" t="n"/>
    </row>
    <row r="28" ht="22" customHeight="1">
      <c r="B28" s="23" t="n">
        <v>25</v>
      </c>
      <c r="C28" s="11" t="inlineStr">
        <is>
          <t>MDF</t>
        </is>
      </c>
      <c r="D28" s="24" t="inlineStr">
        <is>
          <t>MDF 18mm</t>
        </is>
      </c>
      <c r="E28" s="14" t="inlineStr"/>
      <c r="F28" s="23" t="inlineStr">
        <is>
          <t>㎡</t>
        </is>
      </c>
      <c r="G28" s="14" t="n"/>
      <c r="H28" s="14" t="n"/>
      <c r="I28" s="14" t="n"/>
      <c r="J28" s="14" t="n"/>
      <c r="K28" s="14" t="n"/>
      <c r="L28" s="14" t="n"/>
    </row>
    <row r="29" ht="22" customHeight="1">
      <c r="B29" s="23" t="n">
        <v>26</v>
      </c>
      <c r="C29" s="11" t="inlineStr">
        <is>
          <t>각재</t>
        </is>
      </c>
      <c r="D29" s="24" t="inlineStr">
        <is>
          <t>각재 30×40</t>
        </is>
      </c>
      <c r="E29" s="14" t="inlineStr"/>
      <c r="F29" s="23" t="inlineStr">
        <is>
          <t>m</t>
        </is>
      </c>
      <c r="G29" s="14" t="n"/>
      <c r="H29" s="14" t="n"/>
      <c r="I29" s="14" t="n"/>
      <c r="J29" s="14" t="n"/>
      <c r="K29" s="14" t="n"/>
      <c r="L29" s="14" t="n"/>
    </row>
    <row r="30" ht="22" customHeight="1">
      <c r="B30" s="23" t="n">
        <v>27</v>
      </c>
      <c r="C30" s="11" t="inlineStr">
        <is>
          <t>각재</t>
        </is>
      </c>
      <c r="D30" s="24" t="inlineStr">
        <is>
          <t>각재 40×40</t>
        </is>
      </c>
      <c r="E30" s="14" t="inlineStr"/>
      <c r="F30" s="23" t="inlineStr">
        <is>
          <t>m</t>
        </is>
      </c>
      <c r="G30" s="14" t="n"/>
      <c r="H30" s="14" t="n"/>
      <c r="I30" s="14" t="n"/>
      <c r="J30" s="14" t="n"/>
      <c r="K30" s="14" t="n"/>
      <c r="L30" s="14" t="n"/>
    </row>
    <row r="31" ht="22" customHeight="1">
      <c r="B31" s="23" t="n">
        <v>28</v>
      </c>
      <c r="C31" s="11" t="inlineStr">
        <is>
          <t>단열재</t>
        </is>
      </c>
      <c r="D31" s="24" t="inlineStr">
        <is>
          <t>XPS 단열재 (두께별)</t>
        </is>
      </c>
      <c r="E31" s="14" t="inlineStr"/>
      <c r="F31" s="23" t="inlineStr">
        <is>
          <t>㎡</t>
        </is>
      </c>
      <c r="G31" s="14" t="n"/>
      <c r="H31" s="14" t="n"/>
      <c r="I31" s="14" t="n"/>
      <c r="J31" s="14" t="n"/>
      <c r="K31" s="14" t="n"/>
      <c r="L31" s="14" t="n"/>
    </row>
    <row r="32" ht="22" customHeight="1">
      <c r="B32" s="23" t="n">
        <v>29</v>
      </c>
      <c r="C32" s="11" t="inlineStr">
        <is>
          <t>단열재</t>
        </is>
      </c>
      <c r="D32" s="24" t="inlineStr">
        <is>
          <t>EPS 단열재</t>
        </is>
      </c>
      <c r="E32" s="14" t="inlineStr"/>
      <c r="F32" s="23" t="inlineStr">
        <is>
          <t>㎡</t>
        </is>
      </c>
      <c r="G32" s="14" t="n"/>
      <c r="H32" s="14" t="n"/>
      <c r="I32" s="14" t="n"/>
      <c r="J32" s="14" t="n"/>
      <c r="K32" s="14" t="n"/>
      <c r="L32" s="14" t="n"/>
    </row>
    <row r="33" ht="22" customHeight="1">
      <c r="B33" s="23" t="n">
        <v>30</v>
      </c>
      <c r="C33" s="11" t="inlineStr">
        <is>
          <t>방수재</t>
        </is>
      </c>
      <c r="D33" s="24" t="inlineStr">
        <is>
          <t>우레탄 방수재 1액형</t>
        </is>
      </c>
      <c r="E33" s="14" t="inlineStr"/>
      <c r="F33" s="23" t="inlineStr">
        <is>
          <t>kg</t>
        </is>
      </c>
      <c r="G33" s="14" t="n"/>
      <c r="H33" s="14" t="n"/>
      <c r="I33" s="14" t="n"/>
      <c r="J33" s="14" t="n"/>
      <c r="K33" s="14" t="n"/>
      <c r="L33" s="14" t="n"/>
    </row>
    <row r="34" ht="22" customHeight="1">
      <c r="B34" s="25" t="n">
        <v>31</v>
      </c>
      <c r="C34" s="18" t="inlineStr">
        <is>
          <t>방수재</t>
        </is>
      </c>
      <c r="D34" s="18" t="inlineStr">
        <is>
          <t>폴리머시멘트 방수재</t>
        </is>
      </c>
      <c r="E34" s="14" t="inlineStr"/>
      <c r="F34" s="25" t="inlineStr">
        <is>
          <t>kg</t>
        </is>
      </c>
      <c r="G34" s="14" t="n"/>
      <c r="H34" s="14" t="n"/>
      <c r="I34" s="14" t="n"/>
      <c r="J34" s="14" t="n"/>
      <c r="K34" s="14" t="n"/>
      <c r="L34" s="14" t="n"/>
    </row>
    <row r="35" ht="22" customHeight="1">
      <c r="B35" s="23" t="n">
        <v>32</v>
      </c>
      <c r="C35" s="11" t="inlineStr">
        <is>
          <t>창호</t>
        </is>
      </c>
      <c r="D35" s="24" t="inlineStr">
        <is>
          <t>PVC 시스템창호</t>
        </is>
      </c>
      <c r="E35" s="14" t="inlineStr"/>
      <c r="F35" s="23" t="inlineStr">
        <is>
          <t>EA</t>
        </is>
      </c>
      <c r="G35" s="14" t="n"/>
      <c r="H35" s="14" t="n"/>
      <c r="I35" s="14" t="n"/>
      <c r="J35" s="14" t="n"/>
      <c r="K35" s="14" t="n"/>
      <c r="L35" s="14" t="n"/>
    </row>
    <row r="36" ht="22" customHeight="1">
      <c r="B36" s="23" t="n">
        <v>33</v>
      </c>
      <c r="C36" s="11" t="inlineStr">
        <is>
          <t>창호</t>
        </is>
      </c>
      <c r="D36" s="24" t="inlineStr">
        <is>
          <t>알루미늄 시스템창호</t>
        </is>
      </c>
      <c r="E36" s="14" t="inlineStr"/>
      <c r="F36" s="23" t="inlineStr">
        <is>
          <t>EA</t>
        </is>
      </c>
      <c r="G36" s="14" t="n"/>
      <c r="H36" s="14" t="n"/>
      <c r="I36" s="14" t="n"/>
      <c r="J36" s="14" t="n"/>
      <c r="K36" s="14" t="n"/>
      <c r="L36" s="14" t="n"/>
    </row>
    <row r="37" ht="22" customHeight="1">
      <c r="B37" s="23" t="n">
        <v>34</v>
      </c>
      <c r="C37" s="11" t="inlineStr">
        <is>
          <t>창호</t>
        </is>
      </c>
      <c r="D37" s="24" t="inlineStr">
        <is>
          <t>복층유리 22mm</t>
        </is>
      </c>
      <c r="E37" s="14" t="inlineStr"/>
      <c r="F37" s="23" t="inlineStr">
        <is>
          <t>㎡</t>
        </is>
      </c>
      <c r="G37" s="14" t="n"/>
      <c r="H37" s="14" t="n"/>
      <c r="I37" s="14" t="n"/>
      <c r="J37" s="14" t="n"/>
      <c r="K37" s="14" t="n"/>
      <c r="L37" s="14" t="n"/>
    </row>
    <row r="38" ht="22" customHeight="1">
      <c r="B38" s="23" t="n">
        <v>35</v>
      </c>
      <c r="C38" s="11" t="inlineStr">
        <is>
          <t>창호</t>
        </is>
      </c>
      <c r="D38" s="24" t="inlineStr">
        <is>
          <t>로이유리 Low-E</t>
        </is>
      </c>
      <c r="E38" s="14" t="inlineStr"/>
      <c r="F38" s="23" t="inlineStr">
        <is>
          <t>㎡</t>
        </is>
      </c>
      <c r="G38" s="14" t="n"/>
      <c r="H38" s="14" t="n"/>
      <c r="I38" s="14" t="n"/>
      <c r="J38" s="14" t="n"/>
      <c r="K38" s="14" t="n"/>
      <c r="L38" s="14" t="n"/>
    </row>
    <row r="39" ht="22" customHeight="1">
      <c r="B39" s="23" t="n">
        <v>36</v>
      </c>
      <c r="C39" s="11" t="inlineStr">
        <is>
          <t>유리</t>
        </is>
      </c>
      <c r="D39" s="24" t="inlineStr">
        <is>
          <t>강화유리 8mm</t>
        </is>
      </c>
      <c r="E39" s="14" t="inlineStr"/>
      <c r="F39" s="23" t="inlineStr">
        <is>
          <t>㎡</t>
        </is>
      </c>
      <c r="G39" s="14" t="n"/>
      <c r="H39" s="14" t="n"/>
      <c r="I39" s="14" t="n"/>
      <c r="J39" s="14" t="n"/>
      <c r="K39" s="14" t="n"/>
      <c r="L39" s="14" t="n"/>
    </row>
    <row r="40" ht="22" customHeight="1">
      <c r="B40" s="23" t="n">
        <v>37</v>
      </c>
      <c r="C40" s="11" t="inlineStr">
        <is>
          <t>유리</t>
        </is>
      </c>
      <c r="D40" s="24" t="inlineStr">
        <is>
          <t>미러 (거울용)</t>
        </is>
      </c>
      <c r="E40" s="14" t="inlineStr"/>
      <c r="F40" s="23" t="inlineStr">
        <is>
          <t>㎡</t>
        </is>
      </c>
      <c r="G40" s="14" t="n"/>
      <c r="H40" s="14" t="n"/>
      <c r="I40" s="14" t="n"/>
      <c r="J40" s="14" t="n"/>
      <c r="K40" s="14" t="n"/>
      <c r="L40" s="14" t="n"/>
    </row>
    <row r="41" ht="22" customHeight="1">
      <c r="B41" s="23" t="n">
        <v>38</v>
      </c>
      <c r="C41" s="11" t="inlineStr">
        <is>
          <t>도어</t>
        </is>
      </c>
      <c r="D41" s="24" t="inlineStr">
        <is>
          <t>ABS 도어 여닫이</t>
        </is>
      </c>
      <c r="E41" s="14" t="inlineStr"/>
      <c r="F41" s="23" t="inlineStr">
        <is>
          <t>EA</t>
        </is>
      </c>
      <c r="G41" s="14" t="n"/>
      <c r="H41" s="14" t="n"/>
      <c r="I41" s="14" t="n"/>
      <c r="J41" s="14" t="n"/>
      <c r="K41" s="14" t="n"/>
      <c r="L41" s="14" t="n"/>
    </row>
    <row r="42" ht="22" customHeight="1">
      <c r="B42" s="23" t="n">
        <v>39</v>
      </c>
      <c r="C42" s="11" t="inlineStr">
        <is>
          <t>도어</t>
        </is>
      </c>
      <c r="D42" s="24" t="inlineStr">
        <is>
          <t>ABS 도어 미닫이</t>
        </is>
      </c>
      <c r="E42" s="14" t="inlineStr"/>
      <c r="F42" s="23" t="inlineStr">
        <is>
          <t>EA</t>
        </is>
      </c>
      <c r="G42" s="14" t="n"/>
      <c r="H42" s="14" t="n"/>
      <c r="I42" s="14" t="n"/>
      <c r="J42" s="14" t="n"/>
      <c r="K42" s="14" t="n"/>
      <c r="L42" s="14" t="n"/>
    </row>
    <row r="43" ht="22" customHeight="1">
      <c r="B43" s="23" t="n">
        <v>40</v>
      </c>
      <c r="C43" s="11" t="inlineStr">
        <is>
          <t>도어</t>
        </is>
      </c>
      <c r="D43" s="24" t="inlineStr">
        <is>
          <t>방화문</t>
        </is>
      </c>
      <c r="E43" s="14" t="inlineStr"/>
      <c r="F43" s="23" t="inlineStr">
        <is>
          <t>EA</t>
        </is>
      </c>
      <c r="G43" s="14" t="n"/>
      <c r="H43" s="14" t="n"/>
      <c r="I43" s="14" t="n"/>
      <c r="J43" s="14" t="n"/>
      <c r="K43" s="14" t="n"/>
      <c r="L43" s="14" t="n"/>
    </row>
    <row r="44" ht="22" customHeight="1">
      <c r="B44" s="23" t="n">
        <v>41</v>
      </c>
      <c r="C44" s="11" t="inlineStr">
        <is>
          <t>하드웨어</t>
        </is>
      </c>
      <c r="D44" s="24" t="inlineStr">
        <is>
          <t>경첩 소프트클로즈</t>
        </is>
      </c>
      <c r="E44" s="14" t="inlineStr"/>
      <c r="F44" s="23" t="inlineStr">
        <is>
          <t>개</t>
        </is>
      </c>
      <c r="G44" s="14" t="n"/>
      <c r="H44" s="14" t="n"/>
      <c r="I44" s="14" t="n"/>
      <c r="J44" s="14" t="n"/>
      <c r="K44" s="14" t="n"/>
      <c r="L44" s="14" t="n"/>
    </row>
    <row r="45" ht="22" customHeight="1">
      <c r="B45" s="23" t="n">
        <v>42</v>
      </c>
      <c r="C45" s="11" t="inlineStr">
        <is>
          <t>하드웨어</t>
        </is>
      </c>
      <c r="D45" s="24" t="inlineStr">
        <is>
          <t>서랍 레일 소프트클로즈</t>
        </is>
      </c>
      <c r="E45" s="14" t="inlineStr"/>
      <c r="F45" s="23" t="inlineStr">
        <is>
          <t>세트</t>
        </is>
      </c>
      <c r="G45" s="14" t="n"/>
      <c r="H45" s="14" t="n"/>
      <c r="I45" s="14" t="n"/>
      <c r="J45" s="14" t="n"/>
      <c r="K45" s="14" t="n"/>
      <c r="L45" s="14" t="n"/>
    </row>
    <row r="46" ht="22" customHeight="1">
      <c r="B46" s="23" t="n">
        <v>43</v>
      </c>
      <c r="C46" s="11" t="inlineStr">
        <is>
          <t>조명</t>
        </is>
      </c>
      <c r="D46" s="24" t="inlineStr">
        <is>
          <t>LED 다운라이트 (W별)</t>
        </is>
      </c>
      <c r="E46" s="14" t="inlineStr"/>
      <c r="F46" s="23" t="inlineStr">
        <is>
          <t>EA</t>
        </is>
      </c>
      <c r="G46" s="14" t="n"/>
      <c r="H46" s="14" t="n"/>
      <c r="I46" s="14" t="n"/>
      <c r="J46" s="14" t="n"/>
      <c r="K46" s="14" t="n"/>
      <c r="L46" s="14" t="n"/>
    </row>
    <row r="47" ht="22" customHeight="1">
      <c r="B47" s="23" t="n">
        <v>44</v>
      </c>
      <c r="C47" s="11" t="inlineStr">
        <is>
          <t>조명</t>
        </is>
      </c>
      <c r="D47" s="24" t="inlineStr">
        <is>
          <t>LED 바 간접등</t>
        </is>
      </c>
      <c r="E47" s="14" t="inlineStr"/>
      <c r="F47" s="23" t="inlineStr">
        <is>
          <t>m</t>
        </is>
      </c>
      <c r="G47" s="14" t="n"/>
      <c r="H47" s="14" t="n"/>
      <c r="I47" s="14" t="n"/>
      <c r="J47" s="14" t="n"/>
      <c r="K47" s="14" t="n"/>
      <c r="L47" s="14" t="n"/>
    </row>
    <row r="48" ht="22" customHeight="1">
      <c r="B48" s="23" t="n">
        <v>45</v>
      </c>
      <c r="C48" s="11" t="inlineStr">
        <is>
          <t>배선기구</t>
        </is>
      </c>
      <c r="D48" s="24" t="inlineStr">
        <is>
          <t>콘센트 3P 접지</t>
        </is>
      </c>
      <c r="E48" s="14" t="inlineStr"/>
      <c r="F48" s="23" t="inlineStr">
        <is>
          <t>EA</t>
        </is>
      </c>
      <c r="G48" s="14" t="n"/>
      <c r="H48" s="14" t="n"/>
      <c r="I48" s="14" t="n"/>
      <c r="J48" s="14" t="n"/>
      <c r="K48" s="14" t="n"/>
      <c r="L48" s="14" t="n"/>
    </row>
    <row r="49" ht="22" customHeight="1">
      <c r="B49" s="23" t="n">
        <v>46</v>
      </c>
      <c r="C49" s="11" t="inlineStr">
        <is>
          <t>배선기구</t>
        </is>
      </c>
      <c r="D49" s="24" t="inlineStr">
        <is>
          <t>스위치 일반</t>
        </is>
      </c>
      <c r="E49" s="14" t="inlineStr"/>
      <c r="F49" s="23" t="inlineStr">
        <is>
          <t>EA</t>
        </is>
      </c>
      <c r="G49" s="14" t="n"/>
      <c r="H49" s="14" t="n"/>
      <c r="I49" s="14" t="n"/>
      <c r="J49" s="14" t="n"/>
      <c r="K49" s="14" t="n"/>
      <c r="L49" s="14" t="n"/>
    </row>
    <row r="50" ht="22" customHeight="1">
      <c r="B50" s="23" t="n">
        <v>47</v>
      </c>
      <c r="C50" s="11" t="inlineStr">
        <is>
          <t>위생도기</t>
        </is>
      </c>
      <c r="D50" s="24" t="inlineStr">
        <is>
          <t>양변기 일체형</t>
        </is>
      </c>
      <c r="E50" s="14" t="inlineStr"/>
      <c r="F50" s="23" t="inlineStr">
        <is>
          <t>EA</t>
        </is>
      </c>
      <c r="G50" s="14" t="n"/>
      <c r="H50" s="14" t="n"/>
      <c r="I50" s="14" t="n"/>
      <c r="J50" s="14" t="n"/>
      <c r="K50" s="14" t="n"/>
      <c r="L50" s="14" t="n"/>
    </row>
    <row r="51" ht="22" customHeight="1">
      <c r="B51" s="23" t="n">
        <v>48</v>
      </c>
      <c r="C51" s="11" t="inlineStr">
        <is>
          <t>위생도기</t>
        </is>
      </c>
      <c r="D51" s="24" t="inlineStr">
        <is>
          <t>세면기 벽걸이</t>
        </is>
      </c>
      <c r="E51" s="14" t="inlineStr"/>
      <c r="F51" s="23" t="inlineStr">
        <is>
          <t>EA</t>
        </is>
      </c>
      <c r="G51" s="14" t="n"/>
      <c r="H51" s="14" t="n"/>
      <c r="I51" s="14" t="n"/>
      <c r="J51" s="14" t="n"/>
      <c r="K51" s="14" t="n"/>
      <c r="L51" s="14" t="n"/>
    </row>
    <row r="52" ht="22" customHeight="1">
      <c r="B52" s="23" t="n">
        <v>49</v>
      </c>
      <c r="C52" s="11" t="inlineStr">
        <is>
          <t>위생도기</t>
        </is>
      </c>
      <c r="D52" s="24" t="inlineStr">
        <is>
          <t>욕조 아크릴</t>
        </is>
      </c>
      <c r="E52" s="14" t="inlineStr"/>
      <c r="F52" s="23" t="inlineStr">
        <is>
          <t>EA</t>
        </is>
      </c>
      <c r="G52" s="14" t="n"/>
      <c r="H52" s="14" t="n"/>
      <c r="I52" s="14" t="n"/>
      <c r="J52" s="14" t="n"/>
      <c r="K52" s="14" t="n"/>
      <c r="L52" s="14" t="n"/>
    </row>
    <row r="53" ht="22" customHeight="1">
      <c r="B53" s="23" t="n">
        <v>50</v>
      </c>
      <c r="C53" s="11" t="inlineStr">
        <is>
          <t>수전</t>
        </is>
      </c>
      <c r="D53" s="24" t="inlineStr">
        <is>
          <t>세면기 수전</t>
        </is>
      </c>
      <c r="E53" s="14" t="inlineStr"/>
      <c r="F53" s="23" t="inlineStr">
        <is>
          <t>EA</t>
        </is>
      </c>
      <c r="G53" s="14" t="n"/>
      <c r="H53" s="14" t="n"/>
      <c r="I53" s="14" t="n"/>
      <c r="J53" s="14" t="n"/>
      <c r="K53" s="14" t="n"/>
      <c r="L53" s="14" t="n"/>
    </row>
    <row r="54" ht="22" customHeight="1">
      <c r="B54" s="23" t="n">
        <v>51</v>
      </c>
      <c r="C54" s="11" t="inlineStr">
        <is>
          <t>수전</t>
        </is>
      </c>
      <c r="D54" s="24" t="inlineStr">
        <is>
          <t>샤워 수전·헤드</t>
        </is>
      </c>
      <c r="E54" s="14" t="inlineStr"/>
      <c r="F54" s="23" t="inlineStr">
        <is>
          <t>EA</t>
        </is>
      </c>
      <c r="G54" s="14" t="n"/>
      <c r="H54" s="14" t="n"/>
      <c r="I54" s="14" t="n"/>
      <c r="J54" s="14" t="n"/>
      <c r="K54" s="14" t="n"/>
      <c r="L54" s="14" t="n"/>
    </row>
    <row r="55" ht="22" customHeight="1">
      <c r="B55" s="23" t="n">
        <v>52</v>
      </c>
      <c r="C55" s="11" t="inlineStr">
        <is>
          <t>수전</t>
        </is>
      </c>
      <c r="D55" s="24" t="inlineStr">
        <is>
          <t>주방 수전</t>
        </is>
      </c>
      <c r="E55" s="14" t="inlineStr"/>
      <c r="F55" s="23" t="inlineStr">
        <is>
          <t>EA</t>
        </is>
      </c>
      <c r="G55" s="14" t="n"/>
      <c r="H55" s="14" t="n"/>
      <c r="I55" s="14" t="n"/>
      <c r="J55" s="14" t="n"/>
      <c r="K55" s="14" t="n"/>
      <c r="L55" s="14" t="n"/>
    </row>
    <row r="56" ht="22" customHeight="1">
      <c r="B56" s="23" t="n">
        <v>53</v>
      </c>
      <c r="C56" s="11" t="inlineStr">
        <is>
          <t>가구재</t>
        </is>
      </c>
      <c r="D56" s="24" t="inlineStr">
        <is>
          <t>주방 도어판 PET</t>
        </is>
      </c>
      <c r="E56" s="14" t="inlineStr"/>
      <c r="F56" s="23" t="inlineStr">
        <is>
          <t>㎡</t>
        </is>
      </c>
      <c r="G56" s="14" t="n"/>
      <c r="H56" s="14" t="n"/>
      <c r="I56" s="14" t="n"/>
      <c r="J56" s="14" t="n"/>
      <c r="K56" s="14" t="n"/>
      <c r="L56" s="14" t="n"/>
    </row>
    <row r="57" ht="22" customHeight="1">
      <c r="B57" s="23" t="n">
        <v>54</v>
      </c>
      <c r="C57" s="11" t="inlineStr">
        <is>
          <t>가구재</t>
        </is>
      </c>
      <c r="D57" s="24" t="inlineStr">
        <is>
          <t>장 몸체판 E0합판</t>
        </is>
      </c>
      <c r="E57" s="14" t="inlineStr"/>
      <c r="F57" s="23" t="inlineStr">
        <is>
          <t>㎡</t>
        </is>
      </c>
      <c r="G57" s="14" t="n"/>
      <c r="H57" s="14" t="n"/>
      <c r="I57" s="14" t="n"/>
      <c r="J57" s="14" t="n"/>
      <c r="K57" s="14" t="n"/>
      <c r="L57" s="14" t="n"/>
    </row>
    <row r="58" ht="22" customHeight="1">
      <c r="B58" s="23" t="n">
        <v>55</v>
      </c>
      <c r="C58" s="11" t="inlineStr">
        <is>
          <t>상판</t>
        </is>
      </c>
      <c r="D58" s="24" t="inlineStr">
        <is>
          <t>인조대리석 상판</t>
        </is>
      </c>
      <c r="E58" s="14" t="inlineStr"/>
      <c r="F58" s="23" t="inlineStr">
        <is>
          <t>m</t>
        </is>
      </c>
      <c r="G58" s="14" t="n"/>
      <c r="H58" s="14" t="n"/>
      <c r="I58" s="14" t="n"/>
      <c r="J58" s="14" t="n"/>
      <c r="K58" s="14" t="n"/>
      <c r="L58" s="14" t="n"/>
    </row>
    <row r="59" ht="22" customHeight="1">
      <c r="B59" s="23" t="n">
        <v>56</v>
      </c>
      <c r="C59" s="11" t="inlineStr">
        <is>
          <t>상판</t>
        </is>
      </c>
      <c r="D59" s="24" t="inlineStr">
        <is>
          <t>세라믹 상판</t>
        </is>
      </c>
      <c r="E59" s="14" t="inlineStr"/>
      <c r="F59" s="23" t="inlineStr">
        <is>
          <t>m</t>
        </is>
      </c>
      <c r="G59" s="14" t="n"/>
      <c r="H59" s="14" t="n"/>
      <c r="I59" s="14" t="n"/>
      <c r="J59" s="14" t="n"/>
      <c r="K59" s="14" t="n"/>
      <c r="L59" s="14" t="n"/>
    </row>
    <row r="60" ht="22" customHeight="1">
      <c r="B60" s="23" t="n">
        <v>57</v>
      </c>
      <c r="C60" s="11" t="inlineStr">
        <is>
          <t>상판</t>
        </is>
      </c>
      <c r="D60" s="24" t="inlineStr">
        <is>
          <t>석영석 상판</t>
        </is>
      </c>
      <c r="E60" s="14" t="inlineStr"/>
      <c r="F60" s="23" t="inlineStr">
        <is>
          <t>m</t>
        </is>
      </c>
      <c r="G60" s="14" t="n"/>
      <c r="H60" s="14" t="n"/>
      <c r="I60" s="14" t="n"/>
      <c r="J60" s="14" t="n"/>
      <c r="K60" s="14" t="n"/>
      <c r="L60" s="14" t="n"/>
    </row>
    <row r="61" ht="22" customHeight="1">
      <c r="B61" s="23" t="n">
        <v>58</v>
      </c>
      <c r="C61" s="11" t="inlineStr">
        <is>
          <t>철물</t>
        </is>
      </c>
      <c r="D61" s="24" t="inlineStr">
        <is>
          <t>LGS 스터드·러너</t>
        </is>
      </c>
      <c r="E61" s="14" t="inlineStr"/>
      <c r="F61" s="23" t="inlineStr">
        <is>
          <t>m</t>
        </is>
      </c>
      <c r="G61" s="14" t="n"/>
      <c r="H61" s="14" t="n"/>
      <c r="I61" s="14" t="n"/>
      <c r="J61" s="14" t="n"/>
      <c r="K61" s="14" t="n"/>
      <c r="L61" s="14" t="n"/>
    </row>
    <row r="62" ht="22" customHeight="1">
      <c r="B62" s="23" t="n">
        <v>59</v>
      </c>
      <c r="C62" s="11" t="inlineStr">
        <is>
          <t>철물</t>
        </is>
      </c>
      <c r="D62" s="24" t="inlineStr">
        <is>
          <t>M-BAR·C-BAR</t>
        </is>
      </c>
      <c r="E62" s="14" t="inlineStr"/>
      <c r="F62" s="23" t="inlineStr">
        <is>
          <t>m</t>
        </is>
      </c>
      <c r="G62" s="14" t="n"/>
      <c r="H62" s="14" t="n"/>
      <c r="I62" s="14" t="n"/>
      <c r="J62" s="14" t="n"/>
      <c r="K62" s="14" t="n"/>
      <c r="L62" s="14" t="n"/>
    </row>
  </sheetData>
  <mergeCells count="1">
    <mergeCell ref="B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0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40" customWidth="1" min="9" max="9"/>
  </cols>
  <sheetData>
    <row r="1" ht="35" customHeight="1">
      <c r="B1" s="6" t="inlineStr">
        <is>
          <t>🔩 부자재·소모품 단가 입력표</t>
        </is>
      </c>
    </row>
    <row r="3" ht="36" customHeight="1">
      <c r="B3" s="8" t="inlineStr">
        <is>
          <t>No</t>
        </is>
      </c>
      <c r="C3" s="8" t="inlineStr">
        <is>
          <t>분류</t>
        </is>
      </c>
      <c r="D3" s="8" t="inlineStr">
        <is>
          <t>부자재명</t>
        </is>
      </c>
      <c r="E3" s="8" t="inlineStr">
        <is>
          <t>단위</t>
        </is>
      </c>
      <c r="F3" s="8" t="inlineStr">
        <is>
          <t>단가
(원/단위)</t>
        </is>
      </c>
      <c r="G3" s="8" t="inlineStr">
        <is>
          <t>포장단위</t>
        </is>
      </c>
      <c r="H3" s="8" t="inlineStr">
        <is>
          <t>㎡당 소모량
(단위/㎡)</t>
        </is>
      </c>
      <c r="I3" s="8" t="inlineStr">
        <is>
          <t>연결 공정</t>
        </is>
      </c>
      <c r="J3" s="8" t="inlineStr">
        <is>
          <t>비고</t>
        </is>
      </c>
    </row>
    <row r="4" ht="22" customHeight="1">
      <c r="B4" s="26" t="n">
        <v>1</v>
      </c>
      <c r="C4" s="27" t="inlineStr">
        <is>
          <t>압착시멘트</t>
        </is>
      </c>
      <c r="D4" s="5" t="inlineStr">
        <is>
          <t>압착시멘트 C1 20kg/포</t>
        </is>
      </c>
      <c r="E4" s="28" t="inlineStr">
        <is>
          <t>포</t>
        </is>
      </c>
      <c r="F4" s="14" t="n"/>
      <c r="G4" s="14" t="n"/>
      <c r="H4" s="14" t="n"/>
      <c r="I4" s="14" t="n"/>
      <c r="J4" s="29" t="inlineStr">
        <is>
          <t>타일시공</t>
        </is>
      </c>
    </row>
    <row r="5" ht="22" customHeight="1">
      <c r="B5" s="26" t="n">
        <v>2</v>
      </c>
      <c r="C5" s="27" t="inlineStr">
        <is>
          <t>압착시멘트</t>
        </is>
      </c>
      <c r="D5" s="5" t="inlineStr">
        <is>
          <t>압착시멘트 C2 20kg/포</t>
        </is>
      </c>
      <c r="E5" s="28" t="inlineStr">
        <is>
          <t>포</t>
        </is>
      </c>
      <c r="F5" s="14" t="n"/>
      <c r="G5" s="14" t="n"/>
      <c r="H5" s="14" t="n"/>
      <c r="I5" s="14" t="n"/>
      <c r="J5" s="29" t="inlineStr">
        <is>
          <t>고급타일</t>
        </is>
      </c>
    </row>
    <row r="6" ht="22" customHeight="1">
      <c r="B6" s="26" t="n">
        <v>3</v>
      </c>
      <c r="C6" s="27" t="inlineStr">
        <is>
          <t>타일본드</t>
        </is>
      </c>
      <c r="D6" s="5" t="inlineStr">
        <is>
          <t>타일본드 C2 20kg</t>
        </is>
      </c>
      <c r="E6" s="28" t="inlineStr">
        <is>
          <t>포</t>
        </is>
      </c>
      <c r="F6" s="14" t="n"/>
      <c r="G6" s="14" t="n"/>
      <c r="H6" s="14" t="n"/>
      <c r="I6" s="14" t="n"/>
      <c r="J6" s="29" t="inlineStr">
        <is>
          <t>타일시공</t>
        </is>
      </c>
    </row>
    <row r="7" ht="22" customHeight="1">
      <c r="B7" s="26" t="n">
        <v>4</v>
      </c>
      <c r="C7" s="27" t="inlineStr">
        <is>
          <t>타일본드</t>
        </is>
      </c>
      <c r="D7" s="5" t="inlineStr">
        <is>
          <t>아덱스급 C2TE 20kg</t>
        </is>
      </c>
      <c r="E7" s="28" t="inlineStr">
        <is>
          <t>포</t>
        </is>
      </c>
      <c r="F7" s="14" t="n"/>
      <c r="G7" s="14" t="n"/>
      <c r="H7" s="14" t="n"/>
      <c r="I7" s="14" t="n"/>
      <c r="J7" s="29" t="inlineStr">
        <is>
          <t>대형·박판타일</t>
        </is>
      </c>
    </row>
    <row r="8" ht="22" customHeight="1">
      <c r="B8" s="26" t="n">
        <v>5</v>
      </c>
      <c r="C8" s="27" t="inlineStr">
        <is>
          <t>에폭시본드</t>
        </is>
      </c>
      <c r="D8" s="5" t="inlineStr">
        <is>
          <t>에폭시본드 A/B 5kg 세트</t>
        </is>
      </c>
      <c r="E8" s="28" t="inlineStr">
        <is>
          <t>세트</t>
        </is>
      </c>
      <c r="F8" s="14" t="n"/>
      <c r="G8" s="14" t="n"/>
      <c r="H8" s="14" t="n"/>
      <c r="I8" s="14" t="n"/>
      <c r="J8" s="29" t="inlineStr">
        <is>
          <t>욕실바닥타일</t>
        </is>
      </c>
    </row>
    <row r="9" ht="22" customHeight="1">
      <c r="B9" s="26" t="n">
        <v>6</v>
      </c>
      <c r="C9" s="27" t="inlineStr">
        <is>
          <t>프라이머</t>
        </is>
      </c>
      <c r="D9" s="5" t="inlineStr">
        <is>
          <t>타일 프라이머 1L</t>
        </is>
      </c>
      <c r="E9" s="28" t="inlineStr">
        <is>
          <t>L</t>
        </is>
      </c>
      <c r="F9" s="14" t="n"/>
      <c r="G9" s="14" t="n"/>
      <c r="H9" s="14" t="n"/>
      <c r="I9" s="14" t="n"/>
      <c r="J9" s="29" t="inlineStr">
        <is>
          <t>타일 전처리</t>
        </is>
      </c>
    </row>
    <row r="10" ht="22" customHeight="1">
      <c r="B10" s="26" t="n">
        <v>7</v>
      </c>
      <c r="C10" s="27" t="inlineStr">
        <is>
          <t>프라이머</t>
        </is>
      </c>
      <c r="D10" s="5" t="inlineStr">
        <is>
          <t>페인트 프라이머 4L</t>
        </is>
      </c>
      <c r="E10" s="28" t="inlineStr">
        <is>
          <t>L</t>
        </is>
      </c>
      <c r="F10" s="14" t="n"/>
      <c r="G10" s="14" t="n"/>
      <c r="H10" s="14" t="n"/>
      <c r="I10" s="14" t="n"/>
      <c r="J10" s="29" t="inlineStr">
        <is>
          <t>도장 전처리</t>
        </is>
      </c>
    </row>
    <row r="11" ht="22" customHeight="1">
      <c r="B11" s="26" t="n">
        <v>8</v>
      </c>
      <c r="C11" s="27" t="inlineStr">
        <is>
          <t>줄눈재</t>
        </is>
      </c>
      <c r="D11" s="5" t="inlineStr">
        <is>
          <t>시멘트 줄눈재 2kg</t>
        </is>
      </c>
      <c r="E11" s="28" t="inlineStr">
        <is>
          <t>봉</t>
        </is>
      </c>
      <c r="F11" s="14" t="n"/>
      <c r="G11" s="14" t="n"/>
      <c r="H11" s="14" t="n"/>
      <c r="I11" s="14" t="n"/>
      <c r="J11" s="29" t="inlineStr">
        <is>
          <t>타일줄눈</t>
        </is>
      </c>
    </row>
    <row r="12" ht="22" customHeight="1">
      <c r="B12" s="26" t="n">
        <v>9</v>
      </c>
      <c r="C12" s="27" t="inlineStr">
        <is>
          <t>줄눈재</t>
        </is>
      </c>
      <c r="D12" s="5" t="inlineStr">
        <is>
          <t>폴리머 줄눈재 2kg</t>
        </is>
      </c>
      <c r="E12" s="28" t="inlineStr">
        <is>
          <t>봉</t>
        </is>
      </c>
      <c r="F12" s="14" t="n"/>
      <c r="G12" s="14" t="n"/>
      <c r="H12" s="14" t="n"/>
      <c r="I12" s="14" t="n"/>
      <c r="J12" s="29" t="inlineStr">
        <is>
          <t>타일줄눈</t>
        </is>
      </c>
    </row>
    <row r="13" ht="22" customHeight="1">
      <c r="B13" s="26" t="n">
        <v>10</v>
      </c>
      <c r="C13" s="27" t="inlineStr">
        <is>
          <t>에폭시 줄눈</t>
        </is>
      </c>
      <c r="D13" s="5" t="inlineStr">
        <is>
          <t>에폭시 줄눈 A/B 2kg</t>
        </is>
      </c>
      <c r="E13" s="28" t="inlineStr">
        <is>
          <t>세트</t>
        </is>
      </c>
      <c r="F13" s="14" t="n"/>
      <c r="G13" s="14" t="n"/>
      <c r="H13" s="14" t="n"/>
      <c r="I13" s="14" t="n"/>
      <c r="J13" s="29" t="inlineStr">
        <is>
          <t>내오염 줄눈</t>
        </is>
      </c>
    </row>
    <row r="14" ht="22" customHeight="1">
      <c r="B14" s="26" t="n">
        <v>11</v>
      </c>
      <c r="C14" s="27" t="inlineStr">
        <is>
          <t>레벨링 클립</t>
        </is>
      </c>
      <c r="D14" s="5" t="inlineStr">
        <is>
          <t>레벨링 클립 100개/팩</t>
        </is>
      </c>
      <c r="E14" s="28" t="inlineStr">
        <is>
          <t>팩</t>
        </is>
      </c>
      <c r="F14" s="14" t="n"/>
      <c r="G14" s="14" t="n"/>
      <c r="H14" s="14" t="n"/>
      <c r="I14" s="14" t="n"/>
      <c r="J14" s="29" t="inlineStr">
        <is>
          <t>600mm+ 타일</t>
        </is>
      </c>
    </row>
    <row r="15" ht="22" customHeight="1">
      <c r="B15" s="26" t="n">
        <v>12</v>
      </c>
      <c r="C15" s="27" t="inlineStr">
        <is>
          <t>레벨링 클립</t>
        </is>
      </c>
      <c r="D15" s="5" t="inlineStr">
        <is>
          <t>레벨링 쐐기 100개/팩</t>
        </is>
      </c>
      <c r="E15" s="28" t="inlineStr">
        <is>
          <t>팩</t>
        </is>
      </c>
      <c r="F15" s="14" t="n"/>
      <c r="G15" s="14" t="n"/>
      <c r="H15" s="14" t="n"/>
      <c r="I15" s="14" t="n"/>
      <c r="J15" s="29" t="inlineStr">
        <is>
          <t>대형타일</t>
        </is>
      </c>
    </row>
    <row r="16" ht="22" customHeight="1">
      <c r="B16" s="26" t="n">
        <v>13</v>
      </c>
      <c r="C16" s="27" t="inlineStr">
        <is>
          <t>스페이서</t>
        </is>
      </c>
      <c r="D16" s="5" t="inlineStr">
        <is>
          <t>타일 스페이서 2mm</t>
        </is>
      </c>
      <c r="E16" s="28" t="inlineStr">
        <is>
          <t>팩</t>
        </is>
      </c>
      <c r="F16" s="14" t="n"/>
      <c r="G16" s="14" t="n"/>
      <c r="H16" s="14" t="n"/>
      <c r="I16" s="14" t="n"/>
      <c r="J16" s="29" t="inlineStr">
        <is>
          <t>타일줄눈간격</t>
        </is>
      </c>
    </row>
    <row r="17" ht="22" customHeight="1">
      <c r="B17" s="26" t="n">
        <v>14</v>
      </c>
      <c r="C17" s="27" t="inlineStr">
        <is>
          <t>코너비드</t>
        </is>
      </c>
      <c r="D17" s="5" t="inlineStr">
        <is>
          <t>PVC 코너비드 2.4m</t>
        </is>
      </c>
      <c r="E17" s="28" t="inlineStr">
        <is>
          <t>개</t>
        </is>
      </c>
      <c r="F17" s="14" t="n"/>
      <c r="G17" s="14" t="n"/>
      <c r="H17" s="14" t="n"/>
      <c r="I17" s="14" t="n"/>
      <c r="J17" s="29" t="inlineStr">
        <is>
          <t>타일 모서리</t>
        </is>
      </c>
    </row>
    <row r="18" ht="22" customHeight="1">
      <c r="B18" s="26" t="n">
        <v>15</v>
      </c>
      <c r="C18" s="27" t="inlineStr">
        <is>
          <t>코너비드</t>
        </is>
      </c>
      <c r="D18" s="5" t="inlineStr">
        <is>
          <t>알루미늄 졸리컷 2.4m</t>
        </is>
      </c>
      <c r="E18" s="28" t="inlineStr">
        <is>
          <t>개</t>
        </is>
      </c>
      <c r="F18" s="14" t="n"/>
      <c r="G18" s="14" t="n"/>
      <c r="H18" s="14" t="n"/>
      <c r="I18" s="14" t="n"/>
      <c r="J18" s="29" t="inlineStr">
        <is>
          <t>타일 마감</t>
        </is>
      </c>
    </row>
    <row r="19" ht="22" customHeight="1">
      <c r="B19" s="26" t="n">
        <v>16</v>
      </c>
      <c r="C19" s="27" t="inlineStr">
        <is>
          <t>우레탄폼</t>
        </is>
      </c>
      <c r="D19" s="5" t="inlineStr">
        <is>
          <t>우레탄폼 750ml</t>
        </is>
      </c>
      <c r="E19" s="28" t="inlineStr">
        <is>
          <t>EA</t>
        </is>
      </c>
      <c r="F19" s="14" t="n"/>
      <c r="G19" s="14" t="n"/>
      <c r="H19" s="14" t="n"/>
      <c r="I19" s="14" t="n"/>
      <c r="J19" s="29" t="inlineStr">
        <is>
          <t>창호 코킹</t>
        </is>
      </c>
    </row>
    <row r="20" ht="22" customHeight="1">
      <c r="B20" s="26" t="n">
        <v>17</v>
      </c>
      <c r="C20" s="27" t="inlineStr">
        <is>
          <t>보양재</t>
        </is>
      </c>
      <c r="D20" s="5" t="inlineStr">
        <is>
          <t>PE필름 50m 롤</t>
        </is>
      </c>
      <c r="E20" s="28" t="inlineStr">
        <is>
          <t>롤</t>
        </is>
      </c>
      <c r="F20" s="14" t="n"/>
      <c r="G20" s="14" t="n"/>
      <c r="H20" s="14" t="n"/>
      <c r="I20" s="14" t="n"/>
      <c r="J20" s="29" t="inlineStr">
        <is>
          <t>바닥 보양</t>
        </is>
      </c>
    </row>
    <row r="21" ht="22" customHeight="1">
      <c r="B21" s="26" t="n">
        <v>18</v>
      </c>
      <c r="C21" s="27" t="inlineStr">
        <is>
          <t>보양재</t>
        </is>
      </c>
      <c r="D21" s="5" t="inlineStr">
        <is>
          <t>골판지 보양재</t>
        </is>
      </c>
      <c r="E21" s="28" t="inlineStr">
        <is>
          <t>장</t>
        </is>
      </c>
      <c r="F21" s="14" t="n"/>
      <c r="G21" s="14" t="n"/>
      <c r="H21" s="14" t="n"/>
      <c r="I21" s="14" t="n"/>
      <c r="J21" s="29" t="inlineStr">
        <is>
          <t>바닥 보양</t>
        </is>
      </c>
    </row>
    <row r="22" ht="22" customHeight="1">
      <c r="B22" s="26" t="n">
        <v>19</v>
      </c>
      <c r="C22" s="27" t="inlineStr">
        <is>
          <t>커팅날</t>
        </is>
      </c>
      <c r="D22" s="5" t="inlineStr">
        <is>
          <t>앵글그라인더 커팅날 4"</t>
        </is>
      </c>
      <c r="E22" s="28" t="inlineStr">
        <is>
          <t>개</t>
        </is>
      </c>
      <c r="F22" s="14" t="n"/>
      <c r="G22" s="14" t="n"/>
      <c r="H22" s="14" t="n"/>
      <c r="I22" s="14" t="n"/>
      <c r="J22" s="29" t="inlineStr">
        <is>
          <t>타일 커팅</t>
        </is>
      </c>
    </row>
    <row r="23" ht="22" customHeight="1">
      <c r="B23" s="26" t="n">
        <v>20</v>
      </c>
      <c r="C23" s="27" t="inlineStr">
        <is>
          <t>커팅날</t>
        </is>
      </c>
      <c r="D23" s="5" t="inlineStr">
        <is>
          <t>습식절단기 날 4"</t>
        </is>
      </c>
      <c r="E23" s="28" t="inlineStr">
        <is>
          <t>개</t>
        </is>
      </c>
      <c r="F23" s="14" t="n"/>
      <c r="G23" s="14" t="n"/>
      <c r="H23" s="14" t="n"/>
      <c r="I23" s="14" t="n"/>
      <c r="J23" s="29" t="inlineStr">
        <is>
          <t>타일 커팅</t>
        </is>
      </c>
    </row>
    <row r="24" ht="22" customHeight="1">
      <c r="B24" s="26" t="n">
        <v>21</v>
      </c>
      <c r="C24" s="27" t="inlineStr">
        <is>
          <t>테이프</t>
        </is>
      </c>
      <c r="D24" s="5" t="inlineStr">
        <is>
          <t>마스킹 테이프 18mm</t>
        </is>
      </c>
      <c r="E24" s="28" t="inlineStr">
        <is>
          <t>롤</t>
        </is>
      </c>
      <c r="F24" s="14" t="n"/>
      <c r="G24" s="14" t="n"/>
      <c r="H24" s="14" t="n"/>
      <c r="I24" s="14" t="n"/>
      <c r="J24" s="29" t="inlineStr">
        <is>
          <t>도장 마스킹</t>
        </is>
      </c>
    </row>
    <row r="25" ht="22" customHeight="1">
      <c r="B25" s="26" t="n">
        <v>22</v>
      </c>
      <c r="C25" s="27" t="inlineStr">
        <is>
          <t>폐기물 마대</t>
        </is>
      </c>
      <c r="D25" s="5" t="inlineStr">
        <is>
          <t>톤백 대형</t>
        </is>
      </c>
      <c r="E25" s="28" t="inlineStr">
        <is>
          <t>EA</t>
        </is>
      </c>
      <c r="F25" s="14" t="n"/>
      <c r="G25" s="14" t="n"/>
      <c r="H25" s="14" t="n"/>
      <c r="I25" s="14" t="n"/>
      <c r="J25" s="29" t="inlineStr">
        <is>
          <t>폐기물 반출</t>
        </is>
      </c>
    </row>
    <row r="26" ht="22" customHeight="1">
      <c r="B26" s="26" t="n">
        <v>23</v>
      </c>
      <c r="C26" s="27" t="inlineStr">
        <is>
          <t>연마지</t>
        </is>
      </c>
      <c r="D26" s="5" t="inlineStr">
        <is>
          <t>샌드페이퍼 80방</t>
        </is>
      </c>
      <c r="E26" s="28" t="inlineStr">
        <is>
          <t>장</t>
        </is>
      </c>
      <c r="F26" s="14" t="n"/>
      <c r="G26" s="14" t="n"/>
      <c r="H26" s="14" t="n"/>
      <c r="I26" s="14" t="n"/>
      <c r="J26" s="29" t="inlineStr">
        <is>
          <t>퍼티 연마</t>
        </is>
      </c>
    </row>
    <row r="27" ht="22" customHeight="1">
      <c r="B27" s="26" t="n">
        <v>24</v>
      </c>
      <c r="C27" s="27" t="inlineStr">
        <is>
          <t>연마지</t>
        </is>
      </c>
      <c r="D27" s="5" t="inlineStr">
        <is>
          <t>샌드페이퍼 120방</t>
        </is>
      </c>
      <c r="E27" s="28" t="inlineStr">
        <is>
          <t>장</t>
        </is>
      </c>
      <c r="F27" s="14" t="n"/>
      <c r="G27" s="14" t="n"/>
      <c r="H27" s="14" t="n"/>
      <c r="I27" s="14" t="n"/>
      <c r="J27" s="29" t="inlineStr">
        <is>
          <t>마감 연마</t>
        </is>
      </c>
    </row>
    <row r="28" ht="22" customHeight="1">
      <c r="B28" s="26" t="n">
        <v>25</v>
      </c>
      <c r="C28" s="27" t="inlineStr">
        <is>
          <t>전선</t>
        </is>
      </c>
      <c r="D28" s="5" t="inlineStr">
        <is>
          <t>전선 2.5㎟ 100m</t>
        </is>
      </c>
      <c r="E28" s="28" t="inlineStr">
        <is>
          <t>롤</t>
        </is>
      </c>
      <c r="F28" s="14" t="n"/>
      <c r="G28" s="14" t="n"/>
      <c r="H28" s="14" t="n"/>
      <c r="I28" s="14" t="n"/>
      <c r="J28" s="29" t="inlineStr">
        <is>
          <t>전기 배선</t>
        </is>
      </c>
    </row>
    <row r="29" ht="22" customHeight="1">
      <c r="B29" s="26" t="n">
        <v>26</v>
      </c>
      <c r="C29" s="27" t="inlineStr">
        <is>
          <t>전선</t>
        </is>
      </c>
      <c r="D29" s="5" t="inlineStr">
        <is>
          <t>전선 4㎟ 100m</t>
        </is>
      </c>
      <c r="E29" s="28" t="inlineStr">
        <is>
          <t>롤</t>
        </is>
      </c>
      <c r="F29" s="14" t="n"/>
      <c r="G29" s="14" t="n"/>
      <c r="H29" s="14" t="n"/>
      <c r="I29" s="14" t="n"/>
      <c r="J29" s="29" t="inlineStr">
        <is>
          <t>전기 배선</t>
        </is>
      </c>
    </row>
    <row r="30" ht="22" customHeight="1">
      <c r="B30" s="26" t="n">
        <v>27</v>
      </c>
      <c r="C30" s="27" t="inlineStr">
        <is>
          <t>CD관</t>
        </is>
      </c>
      <c r="D30" s="5" t="inlineStr">
        <is>
          <t>CD관 28mm</t>
        </is>
      </c>
      <c r="E30" s="28" t="inlineStr">
        <is>
          <t>m</t>
        </is>
      </c>
      <c r="F30" s="14" t="n"/>
      <c r="G30" s="14" t="n"/>
      <c r="H30" s="14" t="n"/>
      <c r="I30" s="14" t="n"/>
      <c r="J30" s="29" t="inlineStr">
        <is>
          <t>전기 배관</t>
        </is>
      </c>
    </row>
    <row r="31" ht="22" customHeight="1">
      <c r="B31" s="26" t="n">
        <v>28</v>
      </c>
      <c r="C31" s="27" t="inlineStr">
        <is>
          <t>셀프레벨링</t>
        </is>
      </c>
      <c r="D31" s="5" t="inlineStr">
        <is>
          <t>셀프레벨링 컴파운드 25kg</t>
        </is>
      </c>
      <c r="E31" s="28" t="inlineStr">
        <is>
          <t>포</t>
        </is>
      </c>
      <c r="F31" s="14" t="n"/>
      <c r="G31" s="14" t="n"/>
      <c r="H31" s="14" t="n"/>
      <c r="I31" s="14" t="n"/>
      <c r="J31" s="29" t="inlineStr">
        <is>
          <t>바닥 평탄화</t>
        </is>
      </c>
    </row>
    <row r="32" ht="22" customHeight="1">
      <c r="B32" s="26" t="n">
        <v>29</v>
      </c>
      <c r="C32" s="27" t="inlineStr">
        <is>
          <t>퍼티</t>
        </is>
      </c>
      <c r="D32" s="5" t="inlineStr">
        <is>
          <t>석고 퍼티 20kg</t>
        </is>
      </c>
      <c r="E32" s="28" t="inlineStr">
        <is>
          <t>포</t>
        </is>
      </c>
      <c r="F32" s="14" t="n"/>
      <c r="G32" s="14" t="n"/>
      <c r="H32" s="14" t="n"/>
      <c r="I32" s="14" t="n"/>
      <c r="J32" s="29" t="inlineStr">
        <is>
          <t>도장 전처리</t>
        </is>
      </c>
    </row>
    <row r="33" ht="22" customHeight="1">
      <c r="B33" s="26" t="n">
        <v>30</v>
      </c>
      <c r="C33" s="27" t="inlineStr">
        <is>
          <t>우레탄방수</t>
        </is>
      </c>
      <c r="D33" s="5" t="inlineStr">
        <is>
          <t>우레탄 방수재 18kg</t>
        </is>
      </c>
      <c r="E33" s="28" t="inlineStr">
        <is>
          <t>통</t>
        </is>
      </c>
      <c r="F33" s="14" t="n"/>
      <c r="G33" s="14" t="n"/>
      <c r="H33" s="14" t="n"/>
      <c r="I33" s="14" t="n"/>
      <c r="J33" s="29" t="inlineStr">
        <is>
          <t>방수</t>
        </is>
      </c>
    </row>
  </sheetData>
  <mergeCells count="1">
    <mergeCell ref="B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 ht="35" customHeight="1">
      <c r="B1" s="6" t="inlineStr">
        <is>
          <t>👷 인건비·품수 입력표 — 직종별 일당 및 단위 작업량</t>
        </is>
      </c>
    </row>
    <row r="3" ht="40" customHeight="1">
      <c r="B3" s="8" t="inlineStr">
        <is>
          <t>분류</t>
        </is>
      </c>
      <c r="C3" s="8" t="inlineStr">
        <is>
          <t>직종명</t>
        </is>
      </c>
      <c r="D3" s="8" t="inlineStr">
        <is>
          <t>일당
(원/일)</t>
        </is>
      </c>
      <c r="E3" s="8" t="inlineStr">
        <is>
          <t>반일
(원)</t>
        </is>
      </c>
      <c r="F3" s="8" t="inlineStr">
        <is>
          <t>㎡당 작업량
(㎡/일)</t>
        </is>
      </c>
      <c r="G3" s="8" t="inlineStr">
        <is>
          <t>EA당 작업량
(EA/일)</t>
        </is>
      </c>
      <c r="H3" s="8" t="inlineStr">
        <is>
          <t>지역 보정계수
(서울=1.0)</t>
        </is>
      </c>
      <c r="I3" s="8" t="inlineStr">
        <is>
          <t>2025 시중노임
참고값</t>
        </is>
      </c>
      <c r="J3" s="8" t="inlineStr">
        <is>
          <t>비고</t>
        </is>
      </c>
    </row>
    <row r="4" ht="22" customHeight="1">
      <c r="B4" s="27" t="inlineStr">
        <is>
          <t>목공</t>
        </is>
      </c>
      <c r="C4" s="3" t="inlineStr">
        <is>
          <t>목수 일반</t>
        </is>
      </c>
      <c r="D4" s="14" t="n"/>
      <c r="E4" s="14" t="n"/>
      <c r="F4" s="14" t="n"/>
      <c r="G4" s="14" t="n"/>
      <c r="H4" s="14" t="n"/>
      <c r="I4" s="30" t="n">
        <v>280000</v>
      </c>
      <c r="J4" s="29" t="inlineStr">
        <is>
          <t>바닥·벽·천장 목공</t>
        </is>
      </c>
    </row>
    <row r="5" ht="22" customHeight="1">
      <c r="B5" s="27" t="inlineStr">
        <is>
          <t>목공</t>
        </is>
      </c>
      <c r="C5" s="3" t="inlineStr">
        <is>
          <t>목수 숙련</t>
        </is>
      </c>
      <c r="D5" s="14" t="n"/>
      <c r="E5" s="14" t="n"/>
      <c r="F5" s="14" t="n"/>
      <c r="G5" s="14" t="n"/>
      <c r="H5" s="14" t="n"/>
      <c r="I5" s="30" t="n">
        <v>320000</v>
      </c>
      <c r="J5" s="29" t="inlineStr">
        <is>
          <t>정밀 목공</t>
        </is>
      </c>
    </row>
    <row r="6" ht="22" customHeight="1">
      <c r="B6" s="27" t="inlineStr">
        <is>
          <t>타일공</t>
        </is>
      </c>
      <c r="C6" s="3" t="inlineStr">
        <is>
          <t>타일공 일반</t>
        </is>
      </c>
      <c r="D6" s="14" t="n"/>
      <c r="E6" s="14" t="n"/>
      <c r="F6" s="14" t="n"/>
      <c r="G6" s="14" t="n"/>
      <c r="H6" s="14" t="n"/>
      <c r="I6" s="30" t="n">
        <v>300000</v>
      </c>
      <c r="J6" s="29" t="inlineStr">
        <is>
          <t>일반 타일</t>
        </is>
      </c>
    </row>
    <row r="7" ht="22" customHeight="1">
      <c r="B7" s="27" t="inlineStr">
        <is>
          <t>타일공</t>
        </is>
      </c>
      <c r="C7" s="3" t="inlineStr">
        <is>
          <t>타일공 숙련 (대형)</t>
        </is>
      </c>
      <c r="D7" s="14" t="n"/>
      <c r="E7" s="14" t="n"/>
      <c r="F7" s="14" t="n"/>
      <c r="G7" s="14" t="n"/>
      <c r="H7" s="14" t="n"/>
      <c r="I7" s="30" t="n">
        <v>340000</v>
      </c>
      <c r="J7" s="29" t="inlineStr">
        <is>
          <t>600mm+ 대형타일</t>
        </is>
      </c>
    </row>
    <row r="8" ht="22" customHeight="1">
      <c r="B8" s="27" t="inlineStr">
        <is>
          <t>전기공</t>
        </is>
      </c>
      <c r="C8" s="3" t="inlineStr">
        <is>
          <t>전기공 내선</t>
        </is>
      </c>
      <c r="D8" s="14" t="n"/>
      <c r="E8" s="14" t="n"/>
      <c r="F8" s="14" t="n"/>
      <c r="G8" s="14" t="n"/>
      <c r="H8" s="14" t="n"/>
      <c r="I8" s="30" t="n">
        <v>300000</v>
      </c>
      <c r="J8" s="29" t="inlineStr">
        <is>
          <t>전기 배선</t>
        </is>
      </c>
    </row>
    <row r="9" ht="22" customHeight="1">
      <c r="B9" s="27" t="inlineStr">
        <is>
          <t>설비공</t>
        </is>
      </c>
      <c r="C9" s="3" t="inlineStr">
        <is>
          <t>설비공 급배수</t>
        </is>
      </c>
      <c r="D9" s="14" t="n"/>
      <c r="E9" s="14" t="n"/>
      <c r="F9" s="14" t="n"/>
      <c r="G9" s="14" t="n"/>
      <c r="H9" s="14" t="n"/>
      <c r="I9" s="30" t="n">
        <v>310000</v>
      </c>
      <c r="J9" s="29" t="inlineStr">
        <is>
          <t>급배수 배관</t>
        </is>
      </c>
    </row>
    <row r="10" ht="22" customHeight="1">
      <c r="B10" s="27" t="inlineStr">
        <is>
          <t>설비공</t>
        </is>
      </c>
      <c r="C10" s="3" t="inlineStr">
        <is>
          <t>설비공 난방</t>
        </is>
      </c>
      <c r="D10" s="14" t="n"/>
      <c r="E10" s="14" t="n"/>
      <c r="F10" s="14" t="n"/>
      <c r="G10" s="14" t="n"/>
      <c r="H10" s="14" t="n"/>
      <c r="I10" s="30" t="n">
        <v>310000</v>
      </c>
      <c r="J10" s="29" t="inlineStr">
        <is>
          <t>보일러·난방</t>
        </is>
      </c>
    </row>
    <row r="11" ht="22" customHeight="1">
      <c r="B11" s="27" t="inlineStr">
        <is>
          <t>도배공</t>
        </is>
      </c>
      <c r="C11" s="3" t="inlineStr">
        <is>
          <t>도배공 일반</t>
        </is>
      </c>
      <c r="D11" s="14" t="n"/>
      <c r="E11" s="14" t="n"/>
      <c r="F11" s="14" t="n"/>
      <c r="G11" s="14" t="n"/>
      <c r="H11" s="14" t="n"/>
      <c r="I11" s="30" t="n">
        <v>250000</v>
      </c>
      <c r="J11" s="29" t="inlineStr">
        <is>
          <t>합지·실크</t>
        </is>
      </c>
    </row>
    <row r="12" ht="22" customHeight="1">
      <c r="B12" s="27" t="inlineStr">
        <is>
          <t>도배공</t>
        </is>
      </c>
      <c r="C12" s="3" t="inlineStr">
        <is>
          <t>도배공 숙련</t>
        </is>
      </c>
      <c r="D12" s="14" t="n"/>
      <c r="E12" s="14" t="n"/>
      <c r="F12" s="14" t="n"/>
      <c r="G12" s="14" t="n"/>
      <c r="H12" s="14" t="n"/>
      <c r="I12" s="30" t="n">
        <v>280000</v>
      </c>
      <c r="J12" s="29" t="inlineStr">
        <is>
          <t>광폭·실크</t>
        </is>
      </c>
    </row>
    <row r="13" ht="22" customHeight="1">
      <c r="B13" s="27" t="inlineStr">
        <is>
          <t>필름공</t>
        </is>
      </c>
      <c r="C13" s="3" t="inlineStr">
        <is>
          <t>필름공</t>
        </is>
      </c>
      <c r="D13" s="14" t="n"/>
      <c r="E13" s="14" t="n"/>
      <c r="F13" s="14" t="n"/>
      <c r="G13" s="14" t="n"/>
      <c r="H13" s="14" t="n"/>
      <c r="I13" s="30" t="n">
        <v>220000</v>
      </c>
      <c r="J13" s="29" t="inlineStr">
        <is>
          <t>인테리어 필름</t>
        </is>
      </c>
    </row>
    <row r="14" ht="22" customHeight="1">
      <c r="B14" s="27" t="inlineStr">
        <is>
          <t>도장공</t>
        </is>
      </c>
      <c r="C14" s="3" t="inlineStr">
        <is>
          <t>도장공 일반</t>
        </is>
      </c>
      <c r="D14" s="14" t="n"/>
      <c r="E14" s="14" t="n"/>
      <c r="F14" s="14" t="n"/>
      <c r="G14" s="14" t="n"/>
      <c r="H14" s="14" t="n"/>
      <c r="I14" s="30" t="n">
        <v>250000</v>
      </c>
      <c r="J14" s="29" t="inlineStr">
        <is>
          <t>수성페인트</t>
        </is>
      </c>
    </row>
    <row r="15" ht="22" customHeight="1">
      <c r="B15" s="27" t="inlineStr">
        <is>
          <t>도장공</t>
        </is>
      </c>
      <c r="C15" s="3" t="inlineStr">
        <is>
          <t>도장공 숙련</t>
        </is>
      </c>
      <c r="D15" s="14" t="n"/>
      <c r="E15" s="14" t="n"/>
      <c r="F15" s="14" t="n"/>
      <c r="G15" s="14" t="n"/>
      <c r="H15" s="14" t="n"/>
      <c r="I15" s="30" t="n">
        <v>290000</v>
      </c>
      <c r="J15" s="29" t="inlineStr">
        <is>
          <t>특수 도장</t>
        </is>
      </c>
    </row>
    <row r="16" ht="22" customHeight="1">
      <c r="B16" s="27" t="inlineStr">
        <is>
          <t>마루공</t>
        </is>
      </c>
      <c r="C16" s="3" t="inlineStr">
        <is>
          <t>마루공</t>
        </is>
      </c>
      <c r="D16" s="14" t="n"/>
      <c r="E16" s="14" t="n"/>
      <c r="F16" s="14" t="n"/>
      <c r="G16" s="14" t="n"/>
      <c r="H16" s="14" t="n"/>
      <c r="I16" s="30" t="n">
        <v>250000</v>
      </c>
      <c r="J16" s="29" t="inlineStr">
        <is>
          <t>강마루·LVT</t>
        </is>
      </c>
    </row>
    <row r="17" ht="22" customHeight="1">
      <c r="B17" s="27" t="inlineStr">
        <is>
          <t>창호공</t>
        </is>
      </c>
      <c r="C17" s="3" t="inlineStr">
        <is>
          <t>창호공 시스템</t>
        </is>
      </c>
      <c r="D17" s="14" t="n"/>
      <c r="E17" s="14" t="n"/>
      <c r="F17" s="14" t="n"/>
      <c r="G17" s="14" t="n"/>
      <c r="H17" s="14" t="n"/>
      <c r="I17" s="30" t="n">
        <v>280000</v>
      </c>
      <c r="J17" s="29" t="inlineStr">
        <is>
          <t>시스템 창호</t>
        </is>
      </c>
    </row>
    <row r="18" ht="22" customHeight="1">
      <c r="B18" s="27" t="inlineStr">
        <is>
          <t>창호공</t>
        </is>
      </c>
      <c r="C18" s="3" t="inlineStr">
        <is>
          <t>창호공 일반</t>
        </is>
      </c>
      <c r="D18" s="14" t="n"/>
      <c r="E18" s="14" t="n"/>
      <c r="F18" s="14" t="n"/>
      <c r="G18" s="14" t="n"/>
      <c r="H18" s="14" t="n"/>
      <c r="I18" s="30" t="n">
        <v>250000</v>
      </c>
      <c r="J18" s="29" t="inlineStr">
        <is>
          <t>일반 창호</t>
        </is>
      </c>
    </row>
    <row r="19" ht="22" customHeight="1">
      <c r="B19" s="27" t="inlineStr">
        <is>
          <t>가구공</t>
        </is>
      </c>
      <c r="C19" s="3" t="inlineStr">
        <is>
          <t>가구공 주방</t>
        </is>
      </c>
      <c r="D19" s="14" t="n"/>
      <c r="E19" s="14" t="n"/>
      <c r="F19" s="14" t="n"/>
      <c r="G19" s="14" t="n"/>
      <c r="H19" s="14" t="n"/>
      <c r="I19" s="30" t="n">
        <v>280000</v>
      </c>
      <c r="J19" s="29" t="inlineStr">
        <is>
          <t>주방가구</t>
        </is>
      </c>
    </row>
    <row r="20" ht="22" customHeight="1">
      <c r="B20" s="27" t="inlineStr">
        <is>
          <t>가구공</t>
        </is>
      </c>
      <c r="C20" s="3" t="inlineStr">
        <is>
          <t>가구공 붙박이</t>
        </is>
      </c>
      <c r="D20" s="14" t="n"/>
      <c r="E20" s="14" t="n"/>
      <c r="F20" s="14" t="n"/>
      <c r="G20" s="14" t="n"/>
      <c r="H20" s="14" t="n"/>
      <c r="I20" s="30" t="n">
        <v>260000</v>
      </c>
      <c r="J20" s="29" t="inlineStr">
        <is>
          <t>붙박이장</t>
        </is>
      </c>
    </row>
    <row r="21" ht="22" customHeight="1">
      <c r="B21" s="27" t="inlineStr">
        <is>
          <t>방수공</t>
        </is>
      </c>
      <c r="C21" s="3" t="inlineStr">
        <is>
          <t>방수공</t>
        </is>
      </c>
      <c r="D21" s="14" t="n"/>
      <c r="E21" s="14" t="n"/>
      <c r="F21" s="14" t="n"/>
      <c r="G21" s="14" t="n"/>
      <c r="H21" s="14" t="n"/>
      <c r="I21" s="30" t="n">
        <v>280000</v>
      </c>
      <c r="J21" s="29" t="inlineStr">
        <is>
          <t>우레탄 방수</t>
        </is>
      </c>
    </row>
    <row r="22" ht="22" customHeight="1">
      <c r="B22" s="27" t="inlineStr">
        <is>
          <t>미장공</t>
        </is>
      </c>
      <c r="C22" s="3" t="inlineStr">
        <is>
          <t>미장공</t>
        </is>
      </c>
      <c r="D22" s="14" t="n"/>
      <c r="E22" s="14" t="n"/>
      <c r="F22" s="14" t="n"/>
      <c r="G22" s="14" t="n"/>
      <c r="H22" s="14" t="n"/>
      <c r="I22" s="30" t="n">
        <v>260000</v>
      </c>
      <c r="J22" s="29" t="inlineStr">
        <is>
          <t>바닥·벽 미장</t>
        </is>
      </c>
    </row>
    <row r="23" ht="22" customHeight="1">
      <c r="B23" s="27" t="inlineStr">
        <is>
          <t>철거공</t>
        </is>
      </c>
      <c r="C23" s="3" t="inlineStr">
        <is>
          <t>철거공</t>
        </is>
      </c>
      <c r="D23" s="14" t="n"/>
      <c r="E23" s="14" t="n"/>
      <c r="F23" s="14" t="n"/>
      <c r="G23" s="14" t="n"/>
      <c r="H23" s="14" t="n"/>
      <c r="I23" s="30" t="n">
        <v>220000</v>
      </c>
      <c r="J23" s="29" t="inlineStr">
        <is>
          <t>철거·해체</t>
        </is>
      </c>
    </row>
    <row r="24" ht="22" customHeight="1">
      <c r="B24" s="27" t="inlineStr">
        <is>
          <t>보양공</t>
        </is>
      </c>
      <c r="C24" s="3" t="inlineStr">
        <is>
          <t>보양·잡역부</t>
        </is>
      </c>
      <c r="D24" s="14" t="n"/>
      <c r="E24" s="14" t="n"/>
      <c r="F24" s="14" t="n"/>
      <c r="G24" s="14" t="n"/>
      <c r="H24" s="14" t="n"/>
      <c r="I24" s="30" t="n">
        <v>180000</v>
      </c>
      <c r="J24" s="29" t="inlineStr">
        <is>
          <t>보양·청소</t>
        </is>
      </c>
    </row>
    <row r="25" ht="22" customHeight="1">
      <c r="B25" s="27" t="inlineStr">
        <is>
          <t>청소부</t>
        </is>
      </c>
      <c r="C25" s="3" t="inlineStr">
        <is>
          <t>청소부 준공</t>
        </is>
      </c>
      <c r="D25" s="14" t="n"/>
      <c r="E25" s="14" t="n"/>
      <c r="F25" s="14" t="n"/>
      <c r="G25" s="14" t="n"/>
      <c r="H25" s="14" t="n"/>
      <c r="I25" s="30" t="n">
        <v>150000</v>
      </c>
      <c r="J25" s="29" t="inlineStr">
        <is>
          <t>준공 청소</t>
        </is>
      </c>
    </row>
    <row r="26" ht="22" customHeight="1">
      <c r="B26" s="27" t="inlineStr">
        <is>
          <t>현장관리</t>
        </is>
      </c>
      <c r="C26" s="3" t="inlineStr">
        <is>
          <t>현장소장</t>
        </is>
      </c>
      <c r="D26" s="14" t="n"/>
      <c r="E26" s="14" t="n"/>
      <c r="F26" s="14" t="n"/>
      <c r="G26" s="14" t="n"/>
      <c r="H26" s="14" t="n"/>
      <c r="I26" s="30" t="n">
        <v>350000</v>
      </c>
      <c r="J26" s="29" t="inlineStr">
        <is>
          <t>현장 총괄</t>
        </is>
      </c>
    </row>
    <row r="27" ht="22" customHeight="1">
      <c r="B27" s="27" t="inlineStr">
        <is>
          <t>현장관리</t>
        </is>
      </c>
      <c r="C27" s="3" t="inlineStr">
        <is>
          <t>공사팀장</t>
        </is>
      </c>
      <c r="D27" s="14" t="n"/>
      <c r="E27" s="14" t="n"/>
      <c r="F27" s="14" t="n"/>
      <c r="G27" s="14" t="n"/>
      <c r="H27" s="14" t="n"/>
      <c r="I27" s="30" t="n">
        <v>300000</v>
      </c>
      <c r="J27" s="29" t="inlineStr">
        <is>
          <t>공정 관리</t>
        </is>
      </c>
    </row>
  </sheetData>
  <mergeCells count="1">
    <mergeCell ref="B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40" customWidth="1" min="9" max="9"/>
  </cols>
  <sheetData>
    <row r="1" ht="35" customHeight="1">
      <c r="B1" s="6" t="inlineStr">
        <is>
          <t>🚛 외주·장비·운반 단가 입력표</t>
        </is>
      </c>
    </row>
    <row r="3" ht="36" customHeight="1">
      <c r="B3" s="8" t="inlineStr">
        <is>
          <t>분류</t>
        </is>
      </c>
      <c r="C3" s="8" t="inlineStr">
        <is>
          <t>서비스명</t>
        </is>
      </c>
      <c r="D3" s="8" t="inlineStr">
        <is>
          <t>단위</t>
        </is>
      </c>
      <c r="E3" s="8" t="inlineStr">
        <is>
          <t>단가
(원/단위)</t>
        </is>
      </c>
      <c r="F3" s="8" t="inlineStr">
        <is>
          <t>최소 출동비
(원)</t>
        </is>
      </c>
      <c r="G3" s="8" t="inlineStr">
        <is>
          <t>예약
선행일</t>
        </is>
      </c>
      <c r="H3" s="8" t="inlineStr">
        <is>
          <t>업체명</t>
        </is>
      </c>
      <c r="I3" s="8" t="inlineStr">
        <is>
          <t>비고</t>
        </is>
      </c>
    </row>
    <row r="4" ht="22" customHeight="1">
      <c r="B4" s="27" t="inlineStr">
        <is>
          <t>사다리차</t>
        </is>
      </c>
      <c r="C4" s="3" t="inlineStr">
        <is>
          <t>사다리차 5톤 (층수별)</t>
        </is>
      </c>
      <c r="D4" s="31" t="inlineStr">
        <is>
          <t>회</t>
        </is>
      </c>
      <c r="E4" s="14" t="n"/>
      <c r="F4" s="14" t="n"/>
      <c r="G4" s="14" t="n"/>
      <c r="H4" s="14" t="n"/>
      <c r="I4" s="14" t="n"/>
      <c r="J4" s="14" t="n"/>
    </row>
    <row r="5" ht="22" customHeight="1">
      <c r="B5" s="27" t="inlineStr">
        <is>
          <t>사다리차</t>
        </is>
      </c>
      <c r="C5" s="3" t="inlineStr">
        <is>
          <t>사다리차 1톤 (소형)</t>
        </is>
      </c>
      <c r="D5" s="31" t="inlineStr">
        <is>
          <t>회</t>
        </is>
      </c>
      <c r="E5" s="14" t="n"/>
      <c r="F5" s="14" t="n"/>
      <c r="G5" s="14" t="n"/>
      <c r="H5" s="14" t="n"/>
      <c r="I5" s="14" t="n"/>
      <c r="J5" s="14" t="n"/>
    </row>
    <row r="6" ht="22" customHeight="1">
      <c r="B6" s="27" t="inlineStr">
        <is>
          <t>양중</t>
        </is>
      </c>
      <c r="C6" s="3" t="inlineStr">
        <is>
          <t>크레인 양중</t>
        </is>
      </c>
      <c r="D6" s="31" t="inlineStr">
        <is>
          <t>회</t>
        </is>
      </c>
      <c r="E6" s="14" t="n"/>
      <c r="F6" s="14" t="n"/>
      <c r="G6" s="14" t="n"/>
      <c r="H6" s="14" t="n"/>
      <c r="I6" s="14" t="n"/>
      <c r="J6" s="14" t="n"/>
    </row>
    <row r="7" ht="22" customHeight="1">
      <c r="B7" s="27" t="inlineStr">
        <is>
          <t>양중</t>
        </is>
      </c>
      <c r="C7" s="3" t="inlineStr">
        <is>
          <t>인력 양중 고층</t>
        </is>
      </c>
      <c r="D7" s="31" t="inlineStr">
        <is>
          <t>일</t>
        </is>
      </c>
      <c r="E7" s="14" t="n"/>
      <c r="F7" s="14" t="n"/>
      <c r="G7" s="14" t="n"/>
      <c r="H7" s="14" t="n"/>
      <c r="I7" s="14" t="n"/>
      <c r="J7" s="14" t="n"/>
    </row>
    <row r="8" ht="22" customHeight="1">
      <c r="B8" s="27" t="inlineStr">
        <is>
          <t>폐기물</t>
        </is>
      </c>
      <c r="C8" s="3" t="inlineStr">
        <is>
          <t>폐기물 위탁처리</t>
        </is>
      </c>
      <c r="D8" s="31" t="inlineStr">
        <is>
          <t>톤</t>
        </is>
      </c>
      <c r="E8" s="14" t="n"/>
      <c r="F8" s="14" t="n"/>
      <c r="G8" s="14" t="n"/>
      <c r="H8" s="14" t="n"/>
      <c r="I8" s="14" t="n"/>
      <c r="J8" s="14" t="n"/>
    </row>
    <row r="9" ht="22" customHeight="1">
      <c r="B9" s="27" t="inlineStr">
        <is>
          <t>폐기물</t>
        </is>
      </c>
      <c r="C9" s="3" t="inlineStr">
        <is>
          <t>재활용 자재 수거</t>
        </is>
      </c>
      <c r="D9" s="31" t="inlineStr">
        <is>
          <t>식</t>
        </is>
      </c>
      <c r="E9" s="14" t="n"/>
      <c r="F9" s="14" t="n"/>
      <c r="G9" s="14" t="n"/>
      <c r="H9" s="14" t="n"/>
      <c r="I9" s="14" t="n"/>
      <c r="J9" s="14" t="n"/>
    </row>
    <row r="10" ht="22" customHeight="1">
      <c r="B10" s="27" t="inlineStr">
        <is>
          <t>운반</t>
        </is>
      </c>
      <c r="C10" s="3" t="inlineStr">
        <is>
          <t>1톤 트럭 운반</t>
        </is>
      </c>
      <c r="D10" s="31" t="inlineStr">
        <is>
          <t>회</t>
        </is>
      </c>
      <c r="E10" s="14" t="n"/>
      <c r="F10" s="14" t="n"/>
      <c r="G10" s="14" t="n"/>
      <c r="H10" s="14" t="n"/>
      <c r="I10" s="14" t="n"/>
      <c r="J10" s="14" t="n"/>
    </row>
    <row r="11" ht="22" customHeight="1">
      <c r="B11" s="27" t="inlineStr">
        <is>
          <t>운반</t>
        </is>
      </c>
      <c r="C11" s="3" t="inlineStr">
        <is>
          <t>2.5톤 트럭 운반</t>
        </is>
      </c>
      <c r="D11" s="31" t="inlineStr">
        <is>
          <t>회</t>
        </is>
      </c>
      <c r="E11" s="14" t="n"/>
      <c r="F11" s="14" t="n"/>
      <c r="G11" s="14" t="n"/>
      <c r="H11" s="14" t="n"/>
      <c r="I11" s="14" t="n"/>
      <c r="J11" s="14" t="n"/>
    </row>
    <row r="12" ht="22" customHeight="1">
      <c r="B12" s="27" t="inlineStr">
        <is>
          <t>운반</t>
        </is>
      </c>
      <c r="C12" s="3" t="inlineStr">
        <is>
          <t>5톤 트럭 운반</t>
        </is>
      </c>
      <c r="D12" s="31" t="inlineStr">
        <is>
          <t>회</t>
        </is>
      </c>
      <c r="E12" s="14" t="n"/>
      <c r="F12" s="14" t="n"/>
      <c r="G12" s="14" t="n"/>
      <c r="H12" s="14" t="n"/>
      <c r="I12" s="14" t="n"/>
      <c r="J12" s="14" t="n"/>
    </row>
    <row r="13" ht="22" customHeight="1">
      <c r="B13" s="27" t="inlineStr">
        <is>
          <t>장비 대여</t>
        </is>
      </c>
      <c r="C13" s="3" t="inlineStr">
        <is>
          <t>앵글 그라인더 (일)</t>
        </is>
      </c>
      <c r="D13" s="31" t="inlineStr">
        <is>
          <t>일</t>
        </is>
      </c>
      <c r="E13" s="14" t="n"/>
      <c r="F13" s="14" t="n"/>
      <c r="G13" s="14" t="n"/>
      <c r="H13" s="14" t="n"/>
      <c r="I13" s="14" t="n"/>
      <c r="J13" s="14" t="n"/>
    </row>
    <row r="14" ht="22" customHeight="1">
      <c r="B14" s="27" t="inlineStr">
        <is>
          <t>장비 대여</t>
        </is>
      </c>
      <c r="C14" s="3" t="inlineStr">
        <is>
          <t>습식 절단기 (일)</t>
        </is>
      </c>
      <c r="D14" s="31" t="inlineStr">
        <is>
          <t>일</t>
        </is>
      </c>
      <c r="E14" s="14" t="n"/>
      <c r="F14" s="14" t="n"/>
      <c r="G14" s="14" t="n"/>
      <c r="H14" s="14" t="n"/>
      <c r="I14" s="14" t="n"/>
      <c r="J14" s="14" t="n"/>
    </row>
    <row r="15" ht="22" customHeight="1">
      <c r="B15" s="27" t="inlineStr">
        <is>
          <t>장비 대여</t>
        </is>
      </c>
      <c r="C15" s="3" t="inlineStr">
        <is>
          <t>레이저 레벨기 (일)</t>
        </is>
      </c>
      <c r="D15" s="31" t="inlineStr">
        <is>
          <t>일</t>
        </is>
      </c>
      <c r="E15" s="14" t="n"/>
      <c r="F15" s="14" t="n"/>
      <c r="G15" s="14" t="n"/>
      <c r="H15" s="14" t="n"/>
      <c r="I15" s="14" t="n"/>
      <c r="J15" s="14" t="n"/>
    </row>
    <row r="16" ht="22" customHeight="1">
      <c r="B16" s="27" t="inlineStr">
        <is>
          <t>코어 작업</t>
        </is>
      </c>
      <c r="C16" s="3" t="inlineStr">
        <is>
          <t>콘크리트 코어 드릴링</t>
        </is>
      </c>
      <c r="D16" s="31" t="inlineStr">
        <is>
          <t>EA</t>
        </is>
      </c>
      <c r="E16" s="14" t="n"/>
      <c r="F16" s="14" t="n"/>
      <c r="G16" s="14" t="n"/>
      <c r="H16" s="14" t="n"/>
      <c r="I16" s="14" t="n"/>
      <c r="J16" s="14" t="n"/>
    </row>
    <row r="17" ht="22" customHeight="1">
      <c r="B17" s="27" t="inlineStr">
        <is>
          <t>컷팅</t>
        </is>
      </c>
      <c r="C17" s="3" t="inlineStr">
        <is>
          <t>콘크리트 절단</t>
        </is>
      </c>
      <c r="D17" s="31" t="inlineStr">
        <is>
          <t>m</t>
        </is>
      </c>
      <c r="E17" s="14" t="n"/>
      <c r="F17" s="14" t="n"/>
      <c r="G17" s="14" t="n"/>
      <c r="H17" s="14" t="n"/>
      <c r="I17" s="14" t="n"/>
      <c r="J17" s="14" t="n"/>
    </row>
    <row r="18" ht="22" customHeight="1">
      <c r="B18" s="27" t="inlineStr">
        <is>
          <t>전문 외주</t>
        </is>
      </c>
      <c r="C18" s="3" t="inlineStr">
        <is>
          <t>방수 전문업체</t>
        </is>
      </c>
      <c r="D18" s="31" t="inlineStr">
        <is>
          <t>㎡</t>
        </is>
      </c>
      <c r="E18" s="14" t="n"/>
      <c r="F18" s="14" t="n"/>
      <c r="G18" s="14" t="n"/>
      <c r="H18" s="14" t="n"/>
      <c r="I18" s="14" t="n"/>
      <c r="J18" s="14" t="n"/>
    </row>
    <row r="19" ht="22" customHeight="1">
      <c r="B19" s="27" t="inlineStr">
        <is>
          <t>전문 외주</t>
        </is>
      </c>
      <c r="C19" s="3" t="inlineStr">
        <is>
          <t>에어컨 설치 전문</t>
        </is>
      </c>
      <c r="D19" s="31" t="inlineStr">
        <is>
          <t>EA</t>
        </is>
      </c>
      <c r="E19" s="14" t="n"/>
      <c r="F19" s="14" t="n"/>
      <c r="G19" s="14" t="n"/>
      <c r="H19" s="14" t="n"/>
      <c r="I19" s="14" t="n"/>
      <c r="J19" s="14" t="n"/>
    </row>
    <row r="20" ht="22" customHeight="1">
      <c r="B20" s="27" t="inlineStr">
        <is>
          <t>전문 외주</t>
        </is>
      </c>
      <c r="C20" s="3" t="inlineStr">
        <is>
          <t>유리 전문업체</t>
        </is>
      </c>
      <c r="D20" s="31" t="inlineStr">
        <is>
          <t>㎡</t>
        </is>
      </c>
      <c r="E20" s="14" t="n"/>
      <c r="F20" s="14" t="n"/>
      <c r="G20" s="14" t="n"/>
      <c r="H20" s="14" t="n"/>
      <c r="I20" s="14" t="n"/>
      <c r="J20" s="14" t="n"/>
    </row>
    <row r="21" ht="22" customHeight="1">
      <c r="B21" s="27" t="inlineStr">
        <is>
          <t>전문 외주</t>
        </is>
      </c>
      <c r="C21" s="3" t="inlineStr">
        <is>
          <t>준공청소 전문업체</t>
        </is>
      </c>
      <c r="D21" s="31" t="inlineStr">
        <is>
          <t>㎡</t>
        </is>
      </c>
      <c r="E21" s="14" t="n"/>
      <c r="F21" s="14" t="n"/>
      <c r="G21" s="14" t="n"/>
      <c r="H21" s="14" t="n"/>
      <c r="I21" s="14" t="n"/>
      <c r="J21" s="14" t="n"/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2026-04-25T01:08:19Z</dcterms:created>
  <dcterms:modified xmlns:dcterms="http://purl.org/dc/terms/" xmlns:xsi="http://www.w3.org/2001/XMLSchema-instance" xsi:type="dcterms:W3CDTF">2026-04-25T01:08:19Z</dcterms:modified>
</cp:coreProperties>
</file>